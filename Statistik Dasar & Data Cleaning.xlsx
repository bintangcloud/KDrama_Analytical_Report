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b5f11c3ca369234/Perkuliahan/SEMESTER 4/"/>
    </mc:Choice>
  </mc:AlternateContent>
  <xr:revisionPtr revIDLastSave="22" documentId="8_{D7C9E52F-4F38-4BCD-AE37-18103F20F489}" xr6:coauthVersionLast="47" xr6:coauthVersionMax="47" xr10:uidLastSave="{B15427F1-F173-419E-865C-3D89366130E4}"/>
  <bookViews>
    <workbookView xWindow="-110" yWindow="-110" windowWidth="19420" windowHeight="10300" activeTab="1" xr2:uid="{BD05943E-4AA9-4340-9485-8EE8DFD911D6}"/>
  </bookViews>
  <sheets>
    <sheet name="kdrama_DATASET" sheetId="1" r:id="rId1"/>
    <sheet name="Processed_Data" sheetId="2" r:id="rId2"/>
  </sheets>
  <calcPr calcId="191029"/>
</workbook>
</file>

<file path=xl/calcChain.xml><?xml version="1.0" encoding="utf-8"?>
<calcChain xmlns="http://schemas.openxmlformats.org/spreadsheetml/2006/main">
  <c r="C11" i="2" l="1"/>
  <c r="C23" i="2"/>
  <c r="C22" i="2"/>
  <c r="D20" i="2"/>
  <c r="C20" i="2"/>
  <c r="D19" i="2"/>
  <c r="C19" i="2"/>
  <c r="D14" i="2"/>
  <c r="C14" i="2"/>
  <c r="D16" i="2"/>
  <c r="D17" i="2" s="1"/>
  <c r="D15" i="2"/>
  <c r="C16" i="2"/>
  <c r="C15" i="2"/>
  <c r="C10" i="2"/>
  <c r="D13" i="2"/>
  <c r="C13" i="2"/>
  <c r="D11" i="2"/>
  <c r="D10" i="2"/>
  <c r="C6" i="2"/>
  <c r="D8" i="2"/>
  <c r="C8" i="2"/>
  <c r="D7" i="2"/>
  <c r="C7" i="2"/>
  <c r="D6" i="2"/>
  <c r="D12" i="2" l="1"/>
  <c r="C17" i="2"/>
  <c r="C12" i="2"/>
</calcChain>
</file>

<file path=xl/sharedStrings.xml><?xml version="1.0" encoding="utf-8"?>
<sst xmlns="http://schemas.openxmlformats.org/spreadsheetml/2006/main" count="4581" uniqueCount="2191">
  <si>
    <t>Rank</t>
  </si>
  <si>
    <t>Title</t>
  </si>
  <si>
    <t>Year of release</t>
  </si>
  <si>
    <t>Number of Episodes</t>
  </si>
  <si>
    <t>Rating</t>
  </si>
  <si>
    <t>Description</t>
  </si>
  <si>
    <t>Genre</t>
  </si>
  <si>
    <t>Tags</t>
  </si>
  <si>
    <t>Actors</t>
  </si>
  <si>
    <t>#1</t>
  </si>
  <si>
    <t>Move to Heaven</t>
  </si>
  <si>
    <t>9.2</t>
  </si>
  <si>
    <t>Geu Roo is a young autistic man. He works for his fatherâ€™s business â€œMove To Heaven.â€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Rooâ€™s guardian. They run â€œMove To Heavenâ€ together.</t>
  </si>
  <si>
    <t xml:space="preserve">Life,  Drama,  Family </t>
  </si>
  <si>
    <t>Autism, Uncle-Nephew Relationship, Death, Savant Syndrome, Mourning, Tearjerker, Father-Son Relationship, Life Lesson, Ex-convict, Cleaning And Organizing</t>
  </si>
  <si>
    <t>Lee Je Hoon, Tang Jun Sang, Hong Seung Hee, Jung Suk Yong, Jung Young Joo, Lee Moon Shik</t>
  </si>
  <si>
    <t>#2</t>
  </si>
  <si>
    <t>Twinkling Watermelon</t>
  </si>
  <si>
    <t>In 2023, high school student Eun Gyeol, a CODA with a passion for music, leads a double life as a model pupil by day and a guitarist by night. When he discovers a mysterious music store, he's unexpectedly transported back to 1995, where he meets his father, Ha Yi Chan, as a high schooler. Yi Chan doesn't recognize him and is infatuated with a cellist, Se Kyeong, not Eun Gyeol's mother, Cheong Ah. To set things right, Eun Gyeol joins a band led by Yi Chan, hoping to reunite his future parents and return to the present.</t>
  </si>
  <si>
    <t>Romance, Youth, Drama, Fantasy</t>
  </si>
  <si>
    <t>Time Travel, Child From The Future, Sign Language, Father-Son Relationship, Deafness, 1990s, Music, Coming Of Age, Friendship, Comedy</t>
  </si>
  <si>
    <t>Ha Eun-Gyeol, Ha Yi-Chan, Choi Se-Kyung, Yoon Chung-A</t>
  </si>
  <si>
    <t>#3</t>
  </si>
  <si>
    <t>Moving</t>
  </si>
  <si>
    <t>9.1</t>
  </si>
  <si>
    <t>Kim Bong Seok, Jang Hui Su, and Lee Gang Hun, seemingly typical high school students, bear extraordinary inherited powers. Bong Seok can fly, Hui Su possesses exceptional athleticism and rapid injury recovery, and Gang Hun wields uncanny strength and speed. As they conceal their gifts, their parents fight to shield them from exploitation by others, navigating a delicate balance between secrecy and protection.</t>
  </si>
  <si>
    <t>Action, Thriller, Mystery, Supernatural</t>
  </si>
  <si>
    <t>Graphic Violence, Supernatural Power, Multiple Mains, Romance, Family Relationship, Past And Present, Mother-Son Relationship, Father-Daughter Relationship, Suspense, 1990s</t>
  </si>
  <si>
    <t>Ryu Seung Ryong, Han Hyo Joo, Zo In Sung</t>
  </si>
  <si>
    <t>#4</t>
  </si>
  <si>
    <t xml:space="preserve">The Trauma Code: Heroes on Call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</si>
  <si>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Hyeokâ€™s first pupil, nurse Cheon Jang Mi, and anesthesiologist resident Park Gyeong Won. Under Baek Gang Hyeok's leadership, the team transforms from a symbolic unit into one that actively saves lives.</t>
  </si>
  <si>
    <t>Action, Comedy, Drama, Medical</t>
  </si>
  <si>
    <t xml:space="preserve">Surgeon Male Lead, Hospital Setting, Mentor-Mentee Relationship, Competent Male Lead, Rescue Team, Teamwork, Hardworking Male Lead, Co-workers' Relationship, Doctor Male Lead, Workplace Setting </t>
  </si>
  <si>
    <t>Ju Ji Hoon, Choo Young Woo, Ha Young, Yoon Gyung Ho, Jeong Jae Kwang</t>
  </si>
  <si>
    <t>#5</t>
  </si>
  <si>
    <t>Flower of Evil</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</si>
  <si>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Sungâ€™s behavior and begins to wonder if he could possibly be hiding something from her. </t>
  </si>
  <si>
    <t xml:space="preserve">Thriller,  Romance,  Crime,  Melodrama </t>
  </si>
  <si>
    <t>Married Couple, Deception, Suspense, Family Secret, Hidden Personality, Smart Female Lead, Antisocial Personality Disorder, Investigation, Serial Killer, Psychopath</t>
  </si>
  <si>
    <t>Lee Joon Gi, Moon Chae Won, Jang Hee Jin, Seo Hyun Woo, Nam Ki Ae, Son Jong Hak</t>
  </si>
  <si>
    <t>#6</t>
  </si>
  <si>
    <t>Hospital Playlist</t>
  </si>
  <si>
    <t>The stories of people going through their days that are seemingly ordinary but actually special, at the hospital, a place known as the microcosm of life, where someone is being born and someone's life meets their ending. The five doctors are long-time friends of 20 years who started their undergrad in 1999 in the same medical school and now are colleagues in the same hospital and have a band together.</t>
  </si>
  <si>
    <t xml:space="preserve">Friendship,  Romance,  Life,  Medical </t>
  </si>
  <si>
    <t>Strong Friendship, Multiple Mains, Best Friends, Hospital, Slow Romance, Strong Female Lead, Multiple Couples, Slight Romance, Nice Male Lead, Bromance</t>
  </si>
  <si>
    <t>Jo Jung Suk, Yoo Yeon Seok, Jung Kyung Ho, Kim Dae Myung, Jeon Mi Do, Shin Hyun Bin</t>
  </si>
  <si>
    <t>#7</t>
  </si>
  <si>
    <t>Hospital Playlist 2</t>
  </si>
  <si>
    <t>Everyday is extraordinary for five doctors and their patients inside a hospital, where birth, death and everything in between coexist.</t>
  </si>
  <si>
    <t>Workplace, Strong Friendship, Best Friends, Multiple Mains, Band, Music, Strong Female Lead, Multiple Couples, Comedy, Hospital</t>
  </si>
  <si>
    <t>#8</t>
  </si>
  <si>
    <t>My Mister</t>
  </si>
  <si>
    <t>Park Dong Hoon is a middle-aged engineer who is married to attorney Kang Yoon Hee. However, his life is not that happy as he has two unemployed brothers, Sang Hoon and Gi Hoon, who rely on him. Moreover, his wife is secretly having an affair with CEO Do Joon Yeong, his current boss and college junior.</t>
  </si>
  <si>
    <t xml:space="preserve">Psychological,  Life,  Drama,  Family </t>
  </si>
  <si>
    <t>Age Gap, Nice Male Lead, Strong Female Lead, Hardship, Smart Female Lead, Healing, Depression, Poor Female Lead, Workplace, Infidelity</t>
  </si>
  <si>
    <t>Lee Sun Kyun, IU, Park Ho San, Song Sae Byuk, Lee Ji Ah, Kim Young Min</t>
  </si>
  <si>
    <t>#9</t>
  </si>
  <si>
    <t>Reply 1988</t>
  </si>
  <si>
    <t>Five childhood friends, who all live in the same Ssangmundong neighborhood of Seoul, lean on each other to survive their challenging teen years and set a path for their futures. Sung Deok Sun struggles for attention as the middle child in her poor family while also carrying the burden of her 999th ranking in school. Kim Jung Hwan only has a one-track mind for soccer, even after his family becomes rich overnight. Sung Sun Woo is the perfect student, student council president and a caring and dependable son in his family. Ryu Dong Ryong is a geek who knows more about girls and life than the rest of his friends, but his poor academic score prevents him from being able to go to college. Choi Taek is a genius baduk player who dropped out of school to go professional. As the group of friends gets into and out of mischief around the neighborhood, what experiences from these memorable times together will they carry with them into their future lives? Edit Translation  English Ð ÑƒÑÑÐºÐ¸Ð¹ Î•Î»Î»Î·Î½Î¹ÎºÎ¬ Italiano</t>
  </si>
  <si>
    <t xml:space="preserve">Comedy,  Romance,  Youth,  Family </t>
  </si>
  <si>
    <t>Neighbors, Slice Of Life, Childhood Friends, Multiple Couples, Nostalgia, Poor Family, Love Triangle, Best Friends, Heartfelt, High School</t>
  </si>
  <si>
    <t>Lee Hye Ri, Go Kyung Pyo, Ryu Joon Yeol, Park Bo Gum, Lee Dong Hwi, Sung Dong Il</t>
  </si>
  <si>
    <t>#10</t>
  </si>
  <si>
    <t>Weak Hero Class 1</t>
  </si>
  <si>
    <t>Yeon Shi Eun is a model student who ranks at the top of his high school. Physically, Yeon Shi Eun appears weak, but by using his wits and psychology, he fights against the violence that takes place inside and outside of his school.</t>
  </si>
  <si>
    <t>Action, Youth, Drama</t>
  </si>
  <si>
    <t>Bromance, Smart Male Lead, Violence, School Bullying, Adapted From A Webtoon, Delinquent Supporting Character, Quiet Male Lead, Skilled Fighter, Hidden Past, Strong Male Lead</t>
  </si>
  <si>
    <t>Park Ji Hoon, Choi Hyun Wook, Hong Kyung, Kim Su Gyeom, Lee Yeon, Shin Seung Ho</t>
  </si>
  <si>
    <t>#11</t>
  </si>
  <si>
    <t>Prison Playbook</t>
  </si>
  <si>
    <t>Kim Je Hyuk, a famous baseball player, is arrested after using excessive force while chasing a man trying to sexually assault his sister. Shockingly to him and the rest of the nation, he is sentenced to a year in prison. There, he meets his childhood friend and fellow baseball player, Lee Joon Ho, who gave up on baseball after a car accident, but now is a prison guard and one of Je Hyuk's biggest fans. The drama revolves around Je Hyuk's time in prison, as well as the prisoners he meets and events that take place there.</t>
  </si>
  <si>
    <t xml:space="preserve">Comedy,  Crime,  Life,  Drama </t>
  </si>
  <si>
    <t>Prison, Bromance, Wrongfully Accused, Life Lesson, Slight Romance, Strong Male Lead, Character Development, Baseball, Gangster, Murder</t>
  </si>
  <si>
    <t>Park Hae Soo, Jung Kyung Ho, Krystal Jung, Im Hwa Young, Ye Soo Jung, Kim Kyung Nam</t>
  </si>
  <si>
    <t>#12</t>
  </si>
  <si>
    <t>Lovely Runner</t>
  </si>
  <si>
    <t>In the glitzy realm of stardom, Ryu Seon Jae shines as a top-tier celebrity, captivating the spotlight since his debut. Despite the facade of a perfect life, the demanding nature of the entertainment industry has left him utterly exhausted. Im Sol, an ardent admirer, holds an affectionate love for Ryu Seon Jae. A childhood accident derailed her dreams, yet the solace found in Ryu Seon Jae's music on the radio transformed her into an unwavering fan.</t>
  </si>
  <si>
    <t>Music, Comedy, Romance, Fantasy</t>
  </si>
  <si>
    <t>Butterfly Effect, Second Chance, Time Travel, Passionate Male Lead, Time Altering, Famous Male Lead, Love At First Sight, Determined Female Lead, Age Gap [Real Life], Past And Present</t>
  </si>
  <si>
    <t>Lee Je Hoon, Tang Jun Sang, Hong Seung Hee, Jung Suk Yong</t>
  </si>
  <si>
    <t>#13</t>
  </si>
  <si>
    <t>Alchemy of Souls</t>
  </si>
  <si>
    <t>Set in a fictional country called Daeho that does not exist in history or on maps, it is about the love and growth of young mages as they overcome their twisted fates due to a forbidden magic spell known as the "alchemy of souls", which allows souls to switch bodies. It follows the story of an elite assassin named Naksu, whose soul is accidentally trapped inside the weak body of Mu Deokâ€”Jang Uk's servant from a powerful and noble mage family in the country. The young master of the Jang Family, Jang Uk, holds a dark secret about his scandalous birth. He wants the formidable assassin to help change his destiny.</t>
  </si>
  <si>
    <t xml:space="preserve">Action, Historical, Romance, Fantasy </t>
  </si>
  <si>
    <t>Magical Power, Supernatural, Transmigration, Strong Female Lead, Kind Male Lead, Multiple Mains, Master/Disciple Relationship, Master/Apprentice, Hidden Identity, Body Swap</t>
  </si>
  <si>
    <t>Lee Jae Wook, Jung So Min, Hwang Hyun Min, Shin Seung Ho, Yoo Joon Sang, Oh Na Ra</t>
  </si>
  <si>
    <t>#14</t>
  </si>
  <si>
    <t>Study Group</t>
  </si>
  <si>
    <t>It follows the life of student Yun Ga Min, who wants to be good at studying but is only good at fighting, as he forms a study group at the worst school on earth and tells a fierce story about college entrance exams.</t>
  </si>
  <si>
    <t>Action, Thriller, Comedy, Youth</t>
  </si>
  <si>
    <t>Student Male Lead, School Setting, High School, Adapted From A Webtoon, Tsundere Male Lead, Stabbing, Violent Friend, Student Female Lead, Violent Female Lead, Classmates' Relationship</t>
  </si>
  <si>
    <t>Hwang Min Hyun, Han Ji Eun, Cha Woo Min, Lee Jong Hyun, Shin Su Hyun, Yoon Sang Jeong, Gong Do Yu</t>
  </si>
  <si>
    <t>#15</t>
  </si>
  <si>
    <t>Extraordinary Attorney Woo</t>
  </si>
  <si>
    <t>Diagnosed with autism spectrum disorder, 27-year-old Woo Young Woo graduated at the top of her class from the prestigious Seoul National University for both college and law school due to her high IQ of 164, impressive memory, and creative thought process. Working as a lawyer, she finds herself struggling when it comes to social interactions.</t>
  </si>
  <si>
    <t xml:space="preserve">Law, Romance, Life, Drama </t>
  </si>
  <si>
    <t xml:space="preserve"> Autistic Female Lead, Autism, Attorney Female Lead, Smart Female Lead, Law Firm, Workplace Setting, Nice Male Lead, Father-Daughter Relationship, Courtroom Setting, Single Mother/Father Supporting Character</t>
  </si>
  <si>
    <t>Park Eun Bin, Kang Tae Oh, Kang Ki Young, Jeon Bae Soo, Baek Ji Won, Jin Kyung</t>
  </si>
  <si>
    <t>#16</t>
  </si>
  <si>
    <t>Mr. Queen</t>
  </si>
  <si>
    <t>Jang Bong Hwan is a South Korean chef who has risen up the ranks to cook for the countryâ€™s top politicians in the Blue Houseâ€™s presidential residences. After a serious accident, he finds himself in the body of the young queen, Kim So Yong, when whisked away to an era deep in Koreaâ€™s past.</t>
  </si>
  <si>
    <t xml:space="preserve">Historical,  Mystery,  Comedy,  Romance </t>
  </si>
  <si>
    <t>Smart Male Lead, Transmigration, Calm Male Lead, Joseon Dynasty, Time Travel, Sassy Female Lead, Body Swap, Gender Swap, Eccentric Female Lead, Power Struggle</t>
  </si>
  <si>
    <t>Shin Hye Sun, Kim Jung Hyun, Bae Jong Ok, Kim Tae Woo, Jo Yun Hee, Seol In Ah</t>
  </si>
  <si>
    <t>#17</t>
  </si>
  <si>
    <t>Mother</t>
  </si>
  <si>
    <t>Realizing one of her students is being abused, school teacher and bird researcher Soo Jin impulsively kidnaps the girl and acts as a substitute mother in an attempt to take care of her.</t>
  </si>
  <si>
    <t xml:space="preserve">Thriller,  Mystery,  Psychological,  Melodrama </t>
  </si>
  <si>
    <t>Mother-Daughter Relationship, Independent Female Lead, Orphan Female Lead, Smart Female Lead, Child Abuse, Adoption, Strong Female Lead, Motherhood, Psychopath, Cohabitation</t>
  </si>
  <si>
    <t>Lee Bo Young, Heo Yool, Lee Hye Young, Go Sung Hee, Lee Jae Yoon, Go Bo Gyeol</t>
  </si>
  <si>
    <t>#18</t>
  </si>
  <si>
    <t>It's Okay to Not Be Okay</t>
  </si>
  <si>
    <t>Moon Gang Tae is a community health worker at a psychiatric ward who was blessed with everything including a great body, smarts, ability to sympathize with others, patience, ability to react quickly, stamina, and more. Meanwhile, Ko Moon Young is a popular writer of childrenâ€™s literature who, due to suffering from an antisocial personality disorder, seems extremely selfish, arrogant, and rude.</t>
  </si>
  <si>
    <t xml:space="preserve">Psychological,  Comedy,  Romance,  Drama </t>
  </si>
  <si>
    <t>Sibling Relationship, Melodrama, Mental Health, Independent Female Lead, Emotionally Wounded, Successful Female Lead, Healing, Caregiver, Childhood Connection, Psychiatry</t>
  </si>
  <si>
    <t>Kim Soo Hyun, Seo Yea Ji, Oh Jung Se, Park Gyu Young, Jang Young Nam, Kim Chang Wan</t>
  </si>
  <si>
    <t>#19</t>
  </si>
  <si>
    <t>Crash Landing on You</t>
  </si>
  <si>
    <t>After getting into a paragliding accident, South Korean heiress Yoon Se Ri crash lands in North Korea. There, she meets North Korean army officer Ri Jung Hyuk, who agrees to help her return to South Korea. Despite the tension between their countries, the two of them start falling for one another.</t>
  </si>
  <si>
    <t xml:space="preserve">Military,  Comedy,  Romance,  Political </t>
  </si>
  <si>
    <t>North And South Korea, Star Crossed Lovers, Lovers From Different Countries, Strong Male Lead, Army Officer, Rich Female Lead, North Korean, Soldier, Fate, Nice Male Lead</t>
  </si>
  <si>
    <t>Hyun Bin, Son Ye Jin, Seo Ji Hye, Kim Jung Hyun, Yang Kyung Won, Lee Shin Young</t>
  </si>
  <si>
    <t>#20</t>
  </si>
  <si>
    <t>Vincenzo</t>
  </si>
  <si>
    <t>At the age of eight, Park Joo Hyeong went to Italy after being adopted. Now an adult, he is known as Vincenzo Cassano to the Mafia, who employ him as a consigliere. Because mafia factions are at war with each other, he flees to South Korea, where he gets involved with Lawyer Hong Cha Young. She is the type of attorney who will do anything to win a case. Now back at his motherland, he gives an unrivaled conglomerate a taste of its own medicine with a side of justice.</t>
  </si>
  <si>
    <t xml:space="preserve">Comedy,  Law,  Crime,  Drama </t>
  </si>
  <si>
    <t>Mafia, Revenge, Smart Male Lead, Eccentric Female Lead, Injustice, Charming Male Lead, Bromance, Father-Daughter Relationship, Badass Male Lead, Smart Female Lead</t>
  </si>
  <si>
    <t>Song Joong Ki, Jeon Yeo Been, Ok Taec Yeon, Kim Yeo Jin, Jo Han Chul, Kwak Dong Yeon</t>
  </si>
  <si>
    <t>#21</t>
  </si>
  <si>
    <t>Navillera</t>
  </si>
  <si>
    <t>A 70-year-old with a dream and a 23-year-old with a gift lift each other out of harsh realities and rise to the challenge of becoming ballerinos.</t>
  </si>
  <si>
    <t xml:space="preserve">Friendship,  Life,  Drama,  Family </t>
  </si>
  <si>
    <t>Ballet, Dream, Life Lesson, Old-Young Generation, Unusual Friendship, Ballet Dancer, Personal Growth, Adapted From A Webtoon, Father-Son Relationship, Second Chance</t>
  </si>
  <si>
    <t>Park In Hwan, Song Kang, Na Moon Hee, Hong Seung Hee, Kim Tae Hoon, Yoon  Ji Hye</t>
  </si>
  <si>
    <t>#22</t>
  </si>
  <si>
    <t>Signal</t>
  </si>
  <si>
    <t xml:space="preserve">Fifteen years ago, a young girl was kidnapped on the way from school, and Park Hae Yeong, who was an elementary school student at that time, witnessed the crime. A few days later, the girl was found dead, and the police were not able to find the culprit. As time went by, Hae Yeong started distrusting the police. </t>
  </si>
  <si>
    <t xml:space="preserve">Thriller,  Mystery,  Sci-Fi </t>
  </si>
  <si>
    <t>Different Timelines, Hwaseong Serial Murders, Murder, Criminal Profiler, Serial Killer, Tragic Past, Smart Female Lead, Corruption, Time Altering, Kidnapping</t>
  </si>
  <si>
    <t>Lee Je Hoon, Kim Hye Soo, Jo Jin Woong, Kim Won Hae, Lee Yoo Joon, Jang Hyun Sung</t>
  </si>
  <si>
    <t>#23</t>
  </si>
  <si>
    <t>Mr. Sunshine</t>
  </si>
  <si>
    <t>8.9</t>
  </si>
  <si>
    <t>Mr. Sunshine centers on a young boy born into a house servant's family and travels to the United States during the 1871 Shinmiyangyo (U.S. expedition to Korea). He returns to his homeland later as a U.S. marine officer. He meets and falls in love with an aristocratâ€™s daughter. At the same time, he discovers a plot by foreign forces to colonize Korea.  Edit Translation  English í•œêµ­ì–´ ä¸­æ–‡(ç®€ä½“) Ð ÑƒÑÑÐºÐ¸Ð¹</t>
  </si>
  <si>
    <t xml:space="preserve">Military,  Historical,  Romance,  Melodrama </t>
  </si>
  <si>
    <t>Independent Female Lead, Strong Male Lead, Strong Female Lead, Smart Male Lead, Bromance, Soldier, Foreigner, Rebellion, Japanese Colonial Rule, Sismance</t>
  </si>
  <si>
    <t>Lee Byung Hun, Kim Tae Ri, Kim Min Jung, Yoo Yeon Seok, Byun Yo Han, Kim Gab Soo</t>
  </si>
  <si>
    <t>#24</t>
  </si>
  <si>
    <t>Happiness</t>
  </si>
  <si>
    <t>A deadly new strain of a virus is spreading throughout the city. An apartment building that is home to people from different classes remains in quarantine. Its residents must survive in their new habitat fearing both the virus and the potential conflicts between disparate social groups.</t>
  </si>
  <si>
    <t xml:space="preserve">Action,  Thriller,  Drama,  Fantasy </t>
  </si>
  <si>
    <t>Disease, Strong Female Lead, Survival, Virus, Fake Marriage, Zombies, Discrimination, Slow Burn Romance, Infectious Disease, Illness</t>
  </si>
  <si>
    <t>Han Hyo Joo, Park Hyung Sik, Jo  Woo Jin, Lee Joon Hyuk, Park Joo Hee, Baek Hyun Jin</t>
  </si>
  <si>
    <t>#25</t>
  </si>
  <si>
    <t>Kingdom: Season 2</t>
  </si>
  <si>
    <t xml:space="preserve">Following the events in season one, waves of the undead threaten to reach the capital. In an attempt to save the people during the plague and regain his right to the throne, Crown Prince Lee Chang pursues Jo Hak Joo to overthrow him, while the Queen is in a race against time to produce an heir to the throne. </t>
  </si>
  <si>
    <t xml:space="preserve">Thriller,  Historical,  Horror,  Supernatural </t>
  </si>
  <si>
    <t>Zombies, Corruption, Strong Male Lead, Gore, Strong Female Lead, Power Struggle, Smart Female Lead, Death, Palace Politics, Greed</t>
  </si>
  <si>
    <t>Joo Ji Hoon, Bae Doo Na, Kim Sung Gyu, Ryu Seung Ryong, Kim  Sang Ho, Jun Suk Ho</t>
  </si>
  <si>
    <t>#26</t>
  </si>
  <si>
    <t>The Good Bad Mother</t>
  </si>
  <si>
    <t>Young Soon is a single mother and pig farmer who raised her son Kang Ho alone. Despite her love for him, her strict parenting caused Kang Ho to view her as a bad mother. As an adult, Kang Ho became a cold-hearted prosecutor and kept his distance from his mother. However, an unexpected accident caused him to return to his hometown and start over with Young Soon. Kang Ho's childhood friend Mi Joo, known for her warm heart and strong sense of justice, also reconnected with him after his accident, leading to a transformative experience for her.</t>
  </si>
  <si>
    <t>Comedy, Life, Drama, Family</t>
  </si>
  <si>
    <t>Mother-Son Relationship, Village Setting, Death Of A Husband, Mean Parent, Abusive Parent, Age Regression, Determined Female Lead, Controlling Parent, Farmer Female Lead, Foreigner Supporting Character</t>
  </si>
  <si>
    <t>Ra Mi Ran, Lee Do Hyun, Ahn Eun Jin, Yoo In Soo</t>
  </si>
  <si>
    <t>#27</t>
  </si>
  <si>
    <t>The Glory</t>
  </si>
  <si>
    <t>A high school student dreams of becoming an architect. However, she had to drop out of school after suffering from brutal school violence. Years later, the perpetrator gets married and has a kid. Once the kid is in elementary school, the former victim becomes her homeroom teacher and starts her thorough revenge towards the perpetrators and bystanders of her bullying days.</t>
  </si>
  <si>
    <t>Thriller, Drama, Melodrama</t>
  </si>
  <si>
    <t xml:space="preserve">Revenge, School Bullying, School Violence, Sexual Content, Social Issues, Doctor Male Lead, Time Skip, Antiheroine Female Lead, Nonlinear Narrative, Teacher Female Lead </t>
  </si>
  <si>
    <t>Song Hye Kyo, Lee Do Hyun, Im Ji Yeon, Yeom Hye Ran, Park Sung Hoon, Jung Sung Il</t>
  </si>
  <si>
    <t>#28</t>
  </si>
  <si>
    <t>SKY Castle</t>
  </si>
  <si>
    <t>Han Seo Jin, Noh Seung Hye, Jin Jin Hee, and Lee Myung Joo all live with their families in SKY Castle, a luxury private neighborhood hosting wealthy doctors and professors. All of the women wish for their children to enter prestigious universities and are actively supporting their education.</t>
  </si>
  <si>
    <t xml:space="preserve">Mystery,  Psychological,  Drama,  Family </t>
  </si>
  <si>
    <t>Multiple Mains, Social Commentary, Sibling, Medical, Social Satire, Female Centered Plot, Satire, Hospital, Mother-Daughter Relationship, Death</t>
  </si>
  <si>
    <t>Yeom Jung Ah, Lee Tae Ran, Yoon Se Ah, Oh Na Ra, Kim Seo Hyung, Jung Joon Ho</t>
  </si>
  <si>
    <t>#29</t>
  </si>
  <si>
    <t>Tomorrow</t>
  </si>
  <si>
    <t>Choi Joon Woong seeks a job, but it's hard for him to get hired. One night, he witnesses a man trying to end his life and decides to stop him. He gets acquainted with grim reapers Koo Ryeon and Im Ryoong Gu, who belong to a crisis management team. Their purpose is to prevent people from committing suicide. After Joon Woong ends up in a coma and becomes half-human and half-spirit, he is employed by a company of grim reapers as the newest member of the crisis management team.</t>
  </si>
  <si>
    <t xml:space="preserve">Action, Thriller, Drama, Fantasy </t>
  </si>
  <si>
    <t>Grim Reaper Female Lead, Grim Reaper Male Lead, Underworld, Attempted Suicide, Death, Suicide, Afterlife, Suicide Prevention, Coma, Team Leader Female Lead</t>
  </si>
  <si>
    <t>Kim Hee Sun, Rowoon, Lee Soo Hyuk, Yun Ji On, Kim Hae Sook, Kim Nu Ri</t>
  </si>
  <si>
    <t>#30</t>
  </si>
  <si>
    <t>Healer</t>
  </si>
  <si>
    <t>Seo Jung Hoo is a special kind of night courier, known only as "Healer" by his clients. For the right price and with the help of a genius hacker, he gets his clients whatever they want, as long as it doesn't involve murder. His latest job leads him to a second-rate tabloid writer, Chae Young Shin, and the successful reporter, Kim Moon Ho. He begins to uncover the mystery of his own shared past with the two reporters, thus putting them all in danger. Edit Translation  English Ð ÑƒÑÑÐºÐ¸Ð¹ Î•Î»Î»Î·Î½Î¹ÎºÎ¬ Italiano</t>
  </si>
  <si>
    <t xml:space="preserve">Action,  Thriller,  Mystery,  Romance </t>
  </si>
  <si>
    <t>Double Identity, Hidden Identity, Smart Male Lead, Strong Male Lead, Childish Female Lead, Fight, Secret, Sassy Female Lead, Reporter, Trauma</t>
  </si>
  <si>
    <t>Ji Chang Wook, Park Min Young, Yoo Ji Tae, Kim  Mi Kyung, Park Sang Won, Do Ji Won</t>
  </si>
  <si>
    <t>#31</t>
  </si>
  <si>
    <t>Stranger</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</si>
  <si>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prosecutorsâ€™ office and solve a serial murder case.</t>
  </si>
  <si>
    <t xml:space="preserve">Thriller,  Mystery,  Law,  Drama </t>
  </si>
  <si>
    <t>Suspense, Investigation, Corruption, Crime Solving Duo, Murder, Calm Male Lead, Alexithymia, Emotionless Male Lead, Strong Female Lead, Smart Female Lead</t>
  </si>
  <si>
    <t>Jo Seung Woo, Bae Doo Na, Lee Joon Hyuk, Yoo Jae Myung, Shin Hye Sun, Choi Jae Woong</t>
  </si>
  <si>
    <t>#32</t>
  </si>
  <si>
    <t>Twenty-Five Twenty-One</t>
  </si>
  <si>
    <t>8.8</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</si>
  <si>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Jinâ€™s father's business to go bankrupt. This leads to a life change for Baek Yi Jin, from living the life of a wealthy person to a poor person. While studying, he works part-time jobs like delivering newspapers. Later, he becomes a sports reporter for a broadcasting network.</t>
  </si>
  <si>
    <t xml:space="preserve">Romance, Life, Drama, Melodrama </t>
  </si>
  <si>
    <t>Coming Of Age, Nostalgia, Fencing, Nice Male Lead, Friendship, IMF Crisis, High School To Working Life, High School, Competition, Enemies To Friends</t>
  </si>
  <si>
    <t>Kim Tae Ri, Nam Joo Hyuk, Bona, Choi Hyun Wook, Lee Joo Myung, Seo Jae Hee</t>
  </si>
  <si>
    <t>#33</t>
  </si>
  <si>
    <t>Tale of the Nine-Tailed 1938</t>
  </si>
  <si>
    <t>An unexpected case leads Lee Yeon back in time to 1938, where he reencounters Ryu Hong Ju. Once a guardian spirit of the mountain in the west, she's now the owner of a high-end restaurant in the capital city of Gyeongseong. He also meets his younger brother, Lee Rang. Meanwhile, another former guardian spirit and ex-friend, Cheon Mu Yeong, has become hostile. Lee Yeon struggles to return to the present, to his loved one.</t>
  </si>
  <si>
    <t>Historical, Horror, Romance, Fantasy</t>
  </si>
  <si>
    <t xml:space="preserve">Nine-tailed Fox, Action, Supernatural, 1930s, Bromance, Brothers' Relationship, Time Travel, Badass Male Lead, Friendship, Suspense </t>
  </si>
  <si>
    <t>Lee Dong Wook, Kim So Yeon, Kim Bum, Ryu Kyung Soo, Kim Yong Ji, Hwang Hee</t>
  </si>
  <si>
    <t>#34</t>
  </si>
  <si>
    <t>The Red Sleeve</t>
  </si>
  <si>
    <t>In Korea during the second half of the 1700s, Yi San is an aloof and perfection-loving young prince. His fatherâ€™s killing haunts him, although it leaves him in the position to take the throne once his grandfather â€“ the cruel and ruthless current king responsible for Yi Sanâ€™s fatherâ€™s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Sanâ€™s love for Sung Deok Im is true, and she starts to understand that forming a union with him could ultimately benefit his troubled realm.</t>
  </si>
  <si>
    <t xml:space="preserve">Historical, Romance, Drama, Melodrama </t>
  </si>
  <si>
    <t>Noble Man/Common Woman, Tearjerker, Death, Joseon Dynasty, Strong Male Lead, Male Chases Female First, Smart Female Lead, Master-Servant Relationship, Strong Female Lead, King Male Lead</t>
  </si>
  <si>
    <t>Lee Jun Ho, Lee Se Young, Kang Hoon, Lee Deok Hwa, Park Ji Young, Jang Hee Jin</t>
  </si>
  <si>
    <t>#35</t>
  </si>
  <si>
    <t>Goblin</t>
  </si>
  <si>
    <t>Kim Shin was once an unbeatable general in Goryeo's military who died a tragic death. He now possesses immortality but is tired of living while everyone else around him dies. For 900 years, Kim Shin has searched for his bride, a mortal who can pull out the sword and end his life. One day, he encounters Ji Eun Tak, a positive, upbeat high school student who can see the dead and has gone through tragic events, yet still stays strong. She claims to be the Goblin's bride who can end his immortal life, but what appears to be an easy task, only gets complicated, as the two fall in love.</t>
  </si>
  <si>
    <t xml:space="preserve">Comedy,  Romance,  Fantasy,  Melodrama </t>
  </si>
  <si>
    <t>Supernatural, Grim Reaper, Older Man/Younger Woman, Interspecies Romance, Dokkaebi, Fate, Tearjerker, Bromance, Death, Heartfelt</t>
  </si>
  <si>
    <t>Gong Yoo, Kim Go Eun, Lee Dong Wook, Yoo In Na, Yook Sung Jae, Lee El</t>
  </si>
  <si>
    <t>#36</t>
  </si>
  <si>
    <t>The Uncanny Counter</t>
  </si>
  <si>
    <t>Tells the story of demon hunters called Counters who come to earth under the guise of being employees at a noodle restaurant in order to capture evil spirits that have returned to earth in pursuit of eternal life.</t>
  </si>
  <si>
    <t xml:space="preserve">Action,  Mystery,  Drama,  Supernatural </t>
  </si>
  <si>
    <t>Special Power, Righteous Male Lead, Evil Spirit, Strong Female Lead, Multiple Mains, Orphan Male Lead, Spirit, School Bullying, Childhood Trauma, Nice Male Lead</t>
  </si>
  <si>
    <t>Cho Byeong Kyu, Yoo  Joon Sang, Kim Se Jeong, Yeom Hye Ran, Ahn Suk Hwan, Lee Hong Nae</t>
  </si>
  <si>
    <t>#37</t>
  </si>
  <si>
    <t>Mouse</t>
  </si>
  <si>
    <t>8.7</t>
  </si>
  <si>
    <t>A suspenseful story that asks the key question, â€œWhat if we could identify psychopaths in advance?â€ A crazed serial killerâ€™s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</si>
  <si>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Psychopath, Murder, Serial Killer, Investigation, Character Development, Detective, Neurosurgeon, Extreme Violence, Child Sexual Abuse, Flashback To Past</t>
  </si>
  <si>
    <t>Lee Seung Gi, Lee Hee Joon, Park Joo Hyun, Kyung Soo Jin, Woo Ji Hyun, Ahn Jae Wook</t>
  </si>
  <si>
    <t>#38</t>
  </si>
  <si>
    <t>Kingdom</t>
  </si>
  <si>
    <t>No sooner does the Joseon King succumb to smallpox, do the rumors of his death begin. The Cho Clan, the clan of the pregnant Queen and her father, Chief State Councillor Cho Hak Joo, declares the Crown Prince a traitor.</t>
  </si>
  <si>
    <t xml:space="preserve">Thriller,  Historical,  Horror,  Political </t>
  </si>
  <si>
    <t>Joseon Dynasty, Adapted From A Webtoon, Power Struggle, Gore, Nice Male Lead, Strong Male Lead, Survival, Corruption, Strong Female Lead, Epidemic</t>
  </si>
  <si>
    <t>Joo Ji Hoon, Ryu Seung Ryong, Bae Doo Na, Kim Sung Gyu, Kim Chan Yi, Kim  Sang Ho</t>
  </si>
  <si>
    <t>#39</t>
  </si>
  <si>
    <t>Weightlifting Fairy Kim Bok Joo</t>
  </si>
  <si>
    <t>Bok Joo is a weightlifter who is pursuing her dream of winning the gold medal but she then finds romance for the first time in her life. While she is a woman who trains with heavy steel weights, she is also very feminine when it comes to relationships. Focusing solely on weightlifting would jeopardize her relationship but leaving her weightlifting career for love would keep her from attaining her dreams. Can she find a way to have love as well as glory at the age of 20? The characters within this drama are elite athletes in weightlifting, swimming and rhythmic gymnastics who work hard to reach their goals in life. It covers their coming-of-age stories and relationships through hectic life.</t>
  </si>
  <si>
    <t xml:space="preserve">Comedy,  Romance,  Youth,  Sports </t>
  </si>
  <si>
    <t>College Life, Dream, Friends To Lovers, Weightlifting, Strong Female Lead, Bantering Relationship, Male Chases Female First, Tomboy, Swimming, Sismance</t>
  </si>
  <si>
    <t>Lee Sung Kyung, Nam Joo Hyuk, Lee Jae Yoon, Kyung Soo Jin, Cho Hye Jung, Lee Joo Young</t>
  </si>
  <si>
    <t>#40</t>
  </si>
  <si>
    <t>D.P.</t>
  </si>
  <si>
    <t>Private soldier Jun Ho is a confused youth who served in the military normally like other Koreans. One day, he suddenly becomes a member of the military defector arrest team. As such, he is tasked with capturing deserters and must grapple with the more troubling cases of why some soldiers feel they have no other choice but go absent without official leave.</t>
  </si>
  <si>
    <t xml:space="preserve">Action,  Military,  Comedy,  Drama </t>
  </si>
  <si>
    <t>Abuse, Soldier, Military Abuse, Violence, PTSD, Bromance, Overcoming Trauma, Adapted From A Webtoon, Sexual Assault, Desertion</t>
  </si>
  <si>
    <t>Jung Hae In, Koo Kyo Hwan, Kim Sung Kyun, Son Seok Koo, Hong Kyung, Jo Hyun Chul</t>
  </si>
  <si>
    <t>#41</t>
  </si>
  <si>
    <t>The Devil Judge</t>
  </si>
  <si>
    <t xml:space="preserve">Set in a dystopian version of present-day Korea where daily life is chaos and society has collapsed to the point that people openly voice their distrust and hatred for their leaders. In this world bereft of law and order, Head Trial Judge Kang signals the need for change. His courtroom is the subject of a reality show where he mercilessly punishes the guilty, earning him the "Devil Judge" nickname. As a divisive figure with an aura of mystery that belies his true identity and ambitions, the public is unsure whether he is a true hero or someone, knowingly sowing the seeds of discontent in his courtroom. </t>
  </si>
  <si>
    <t xml:space="preserve">Mystery,  Law,  Crime,  Drama </t>
  </si>
  <si>
    <t>Judge, Tough Past, Dystopia, Antihero, Bromance, Hardworking Male Lead, Courtroom, Corruption, Strong Female Lead, Mysterious Male Lead</t>
  </si>
  <si>
    <t>Ji Sung, Kim Min Jung, Park Jin Young, Park Gyu Young, Jeon Chae Eun, Kim Jae Kyung</t>
  </si>
  <si>
    <t>#42</t>
  </si>
  <si>
    <t>The Penthouse</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</si>
  <si>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Seoulâ€™s most coveted penthouse begins.</t>
  </si>
  <si>
    <t xml:space="preserve">Thriller,  Mystery,  Drama,  Family </t>
  </si>
  <si>
    <t>Betrayal, Revenge, Greed, Jealousy, Female Centered Plot, Married Couple, Opera Singer, Motherhood, Twins, School Bullying</t>
  </si>
  <si>
    <t>Lee Ji Ah, Kim So Yeon, Eugene, Uhm Ki Joon, Bong Tae Kyu, Shin Eun Kyung</t>
  </si>
  <si>
    <t>#43</t>
  </si>
  <si>
    <t>Youth of May</t>
  </si>
  <si>
    <t>Hee Tae becomes the pride of Gwangju when he enters Seoul National University College of Medicine with top marks. His best friend Kyung Soo, an avid pro-democracy activist, insists that they open an illegal clinic for students on the run from the government. One day, a factory worker is injured during a protest. In exchange for the costs of discreetly transporting himself and the factory worker to his hometown, Hee Tae must go to a meeting with a potential marriage partner arranged by his father. At this meeting, Hee Tae meets Myung Hee, a nurse persevering through the hardships of life. She only agrees to go to this meeting in place of her friend Soo Ryeon, because she needs to come up with the airfare to go study in Germany. However, Myung Hee and Hee Tae end up falling in love. In May of 1980, amidst the heated passion and cries for democracy that reverberated throughout Gwangju, Hee Tae and Myung Hee find themselves in a twist of fate.</t>
  </si>
  <si>
    <t xml:space="preserve">Historical,  Romance,  Drama,  Melodrama </t>
  </si>
  <si>
    <t>1980s, Nurse, Rich Man/Poor Woman, Gwangju Uprising, Medical Student, Strong Female Lead, Smart Female Lead, Forbidden Love, Star Crossed Lovers, Tearjerker</t>
  </si>
  <si>
    <t>Lee Do Hyun, Go Min Si, Lee Sang Yi, Geum Sae Rok, Oh Man Suk, Uhm Hyo Sub</t>
  </si>
  <si>
    <t>#44</t>
  </si>
  <si>
    <t>Taxi Driver</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</si>
  <si>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didnâ€™t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</si>
  <si>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 xml:space="preserve">Action,  Thriller,  Mystery,  Drama </t>
  </si>
  <si>
    <t>Adapted From A Webtoon, Taxi, Strong Male Lead, Investigation, Secret Organization, Smart Female Lead, Taxi Driver, Antihero, Calm Male Lead, Strong Female Lead</t>
  </si>
  <si>
    <t>Lee Je Hoon, Esom, Kim Eui Sung, Pyo Ye Jin, Cha Ji Yeon, Jang Hyuk Jin</t>
  </si>
  <si>
    <t>#45</t>
  </si>
  <si>
    <t>Life on Mars</t>
  </si>
  <si>
    <t>As leader of a crime investigation team, Han Tae Joo has propelled his career and risen through the ranks by trusting data over all else. One day, while investigating a serial murder case, he has an accident. When he wakes up, he suddenly finds himself in the winter of 1988. He doesn't know why, but he's now a detective appointed to work at a police station in a small city. To get back to the present day, Han Tae Joo tries to solve the case.</t>
  </si>
  <si>
    <t xml:space="preserve">Action,  Mystery,  Comedy,  Supernatural </t>
  </si>
  <si>
    <t>1980s, Police Procedural, Bromance, Calm Male Lead, Smart Male Lead, Strong Friendship, Hallucination, Strong Female Lead, Serial Killer, Coma</t>
  </si>
  <si>
    <t>Jung Kyung Ho, Park Sung Woong, Go Ah Sung, Oh Dae Hwan, Noh Jong Hyun, Jun Suk Ho</t>
  </si>
  <si>
    <t>#46</t>
  </si>
  <si>
    <t>A Shop for Killers</t>
  </si>
  <si>
    <t>Ji Anâ€™s life takes a wild turn when she gets a call from the cops about her uncleâ€™s â€œsuicide,â€ but she knows somethingâ€™s off. Raised by her mysterious uncle Jung Jin Man after her parentsâ€™ death, she never imagined him as suicidal. Before she can process it, sheâ€™s suddenly under attack by assassins, drones, and gunfire. Trapped in her uncleâ€™s house, Ji An has to tap into the strange training he gave her as a kid if sheâ€™s going to survive and figure out whatâ€™s really happening.</t>
  </si>
  <si>
    <t>Action, Thriller, Mystery, Drama</t>
  </si>
  <si>
    <t>Smart Male Lead, Smart Female Lead, Physically Strong Male Lead, Mercenary Supporting Character, Weak To Strong, Graphic Violence, Death Of A Mother, Death Of A Father, Raised By Uncle, Competent Male Lead</t>
  </si>
  <si>
    <t>Lee Dong Wook, Kim Hye Joon, Seo Hyun Woo, Park Ji Bin, Geum Hae Na</t>
  </si>
  <si>
    <t>#47</t>
  </si>
  <si>
    <t>Beyond Evil</t>
  </si>
  <si>
    <t>Meet the two fearless men willing to go to extreme lengths in their pursuit of a serial killer that has shaken up their quiet city:</t>
  </si>
  <si>
    <t xml:space="preserve">Thriller,  Mystery,  Psychological,  Drama </t>
  </si>
  <si>
    <t>Determined Male Lead, Investigation, Suspense, Murder, Wrongfully Accused, Psychological Manipulation, Smart Male Lead, Trauma, Serial Killer, Obsession</t>
  </si>
  <si>
    <t>Shin Ha Kyun, Yeo Jin Goo, Choi Dae Hoon, Kim Shin Rok, Choi Sung Eun, Choi Jin Ho</t>
  </si>
  <si>
    <t>#48</t>
  </si>
  <si>
    <t>Racket Boys</t>
  </si>
  <si>
    <t>A story of a boys' badminton team at a middle school in Haenam as they grow, both as people and as players.</t>
  </si>
  <si>
    <t xml:space="preserve">Friendship,  Comedy,  Youth,  Sports </t>
  </si>
  <si>
    <t>Coliving, Boarding House, Charismatic Female Lead, Legend, Rural Life, Working Mom, Athlete, Tough Female Lead, Tough Male Lead, Badminton</t>
  </si>
  <si>
    <t>Kim Sang Kyung, Oh Na Ra, Tang Jun Sang, Son Sang Yeon, Choi Hyun Wook, Kim Kang Hoon</t>
  </si>
  <si>
    <t>#49</t>
  </si>
  <si>
    <t>Hometown Cha-Cha-Cha</t>
  </si>
  <si>
    <t>Hometown Cha-Cha-Cha is a love story set in the seaside village of Gongjin.</t>
  </si>
  <si>
    <t xml:space="preserve">Comedy,  Romance,  Life </t>
  </si>
  <si>
    <t>Rural Village, Dentist, Healing, Kind-hearted Male Lead, Nice Female Lead, Cheerful Male Lead, Nice Male Lead, Bickering Couple, Rural Life, Hardworking Male Lead</t>
  </si>
  <si>
    <t>Shin Min Ah, Kim Seon Ho, Lee Sang Yi, In Gyo Jin, Jo Han Chul, Lee Bong Ryun</t>
  </si>
  <si>
    <t>#50</t>
  </si>
  <si>
    <t>Six Flying Dragons</t>
  </si>
  <si>
    <t>A fiction historical drama about the ambition, rise and fall of real and fictional characters based around Yi Bang Won.</t>
  </si>
  <si>
    <t xml:space="preserve">Action,  Historical,  Drama,  Political </t>
  </si>
  <si>
    <t>Revolution, Power Struggle, Political Intrigue, Sword-fight, Taejong, Scheme, Taejo, Smart Male Lead, Goryeo Dynasty, Bromance</t>
  </si>
  <si>
    <t>Yoo Ah In, Kim Myung Min, Shin Se Kyung, Byun Yo Han, Yoon Kyun Sang, Chun Ho Jin</t>
  </si>
  <si>
    <t>#51</t>
  </si>
  <si>
    <t>The Penthouse 2</t>
  </si>
  <si>
    <t>After successfully framing Oh Yoon Hee, Cheon Seo Jin and Joo Dan Tae decided to get married. Their engagement party is interrupted by Oh Yoon Hee and Ha Yoon Cheol, who has just come back from the United States. As the secrets unveil, the relationships among the people at Hera Palace are entangled, yet another mysterious figure appears and confronts them.</t>
  </si>
  <si>
    <t>Revenge, Corruption, High Class Society, Female Centered Plot, Greed, Infidelity, Murder, Family Relationship, Betrayal, Married Couple</t>
  </si>
  <si>
    <t>Kim So Yeon, Eugene, Lee Ji Ah, Uhm Ki Joon, Yoon Jong Hoon, Shin Eun Kyung</t>
  </si>
  <si>
    <t>#52</t>
  </si>
  <si>
    <t>Our Beloved Summer</t>
  </si>
  <si>
    <t>Years after filming a viral documentary in high school, two bickering ex-lovers get pulled back in front of the camera â€” and into each other's lives. Choi Woong seems naive and a free-spirited man, but he wants to have something for the first time in his life. For that, he shows what he holds in his mind. Kook Yeon Soo aimed to become the top student at her school, but she is now an adult who lives fiercely, adapting to her reality.</t>
  </si>
  <si>
    <t xml:space="preserve">Romance, Life, Youth, Drama </t>
  </si>
  <si>
    <t>Lovers Reunited, High School Sweethearts, First Love, Healing, Flashback To Past, Love/Hate Relationship, Interview, Coming Of Age, Second Chance Romance, Enemies To Lovers</t>
  </si>
  <si>
    <t>Choi Woo Shik, Kim Da Mi, Kim Sung Cheol, Roh Jeong Eui, Ahn Dong Goo, Park Jin Joo</t>
  </si>
  <si>
    <t>#53</t>
  </si>
  <si>
    <t>The Guest</t>
  </si>
  <si>
    <t>Yoon Hwa Pyung, a young psychic born into a shaman family, learns about the powerful demon called "Son" (Guest). The demon has the power to control other demons and allows them to possess weak people. The possessed people then go mad, kill their families, and stab themselves in the eye. Fatefully, Hwa Pyung, Choi Yoon</t>
  </si>
  <si>
    <t>#54</t>
  </si>
  <si>
    <t>Dear My Friends</t>
  </si>
  <si>
    <t>Park Wan is a translator who is constantly pulled by her mother, Jang Nan Hee, to hang out with her elder friends, Jo Hee Ja, Moon Jung Ah, Oh Choong Nam, and Lee Yeong Won. The plot revolves around the friends' twilight years as they are rediscovering themselves through relationships and family, the struggles they face due to their old age, and their life journey that they share with  Park Wan in the hope she would write a novel about them.</t>
  </si>
  <si>
    <t xml:space="preserve">Life,  Drama,  Family,  Melodrama </t>
  </si>
  <si>
    <t>Best Friends, Life Lesson, Female Centered Plot, Senior Citizen, Mother-Son Relationship, Mother-Daughter Relationship, Multiple Couples, Single Mother, Sismance, Family Conflict</t>
  </si>
  <si>
    <t>Go Hyun Jung, Kim Hye Ja, Na Moon Hee, Go Doo Shim, Park Won Sook, Youn Yuh Jung</t>
  </si>
  <si>
    <t>#55</t>
  </si>
  <si>
    <t>While You Were Sleeping</t>
  </si>
  <si>
    <t>A young woman with bad premonition dreams meets two people who suddenly develop the same ability.</t>
  </si>
  <si>
    <t xml:space="preserve">Mystery,  Romance,  Drama,  Fantasy </t>
  </si>
  <si>
    <t>Precognition, Nice Male Lead, Neighbors, Murder, Tragic Past, Childhood Acquaintance, Smart Male Lead, Steamy Kiss, Strong Female Lead, Healing</t>
  </si>
  <si>
    <t>Bae Suzy, Lee Jong Suk, Jung Hae In, Lee Sang Yeob, Hwang Young Hee, Shin Jae Ha</t>
  </si>
  <si>
    <t>#56</t>
  </si>
  <si>
    <t>Chicago Typewriter</t>
  </si>
  <si>
    <t>This drama follows the lives of two men and a woman through two eras: one during the 1930s Japanese occupation of Korea and the other in the 21st century. The three main characters are</t>
  </si>
  <si>
    <t xml:space="preserve">Comedy,  Romance,  Supernatural,  Political </t>
  </si>
  <si>
    <t>Reincarnation, Strong Friendship, Writer, Hardworking Male Lead, Hardworking Female Lead, Strong Female Lead, Successful Male Lead, Bromance, Flashback To Past, Tragic Past</t>
  </si>
  <si>
    <t>Yoo Ah In, Im Soo Jung, Go Kyung Pyo, Kwak Shi Yang, Jo  Woo Jin, Oh Na Ra</t>
  </si>
  <si>
    <t>#57</t>
  </si>
  <si>
    <t>18 Again</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</si>
  <si>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Youngâ€™s incessant nonsense, Da Jung is at her witsâ€™ end. When Dae Young announces that heâ€™s been fired, Da Jung gives up completely. Convinced life would be better without her husband in it, Da Jung wastes no time in filing for divorce.</t>
  </si>
  <si>
    <t xml:space="preserve">Romance,  Life,  Drama,  Fantasy </t>
  </si>
  <si>
    <t>Second Chance, Personal Growth, First Love, Return To Past, Father-Son Relationship, Divorce, Remake, Married Couple, Hardworking Female Lead, Father-Daughter Relationship</t>
  </si>
  <si>
    <t>Kim Ha Neul, Yoon Sang Hyun, Lee Do Hyun, Roh Jeong Eui, Ryeoun, Wi Ha Joon</t>
  </si>
  <si>
    <t>#58</t>
  </si>
  <si>
    <t>Flex X Cop</t>
  </si>
  <si>
    <t>Jin I Su has everything in life. Being a third-generation conglomerate heir, he never requires othersâ€™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</si>
  <si>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Action, Thriller, Mystery, Comedy</t>
  </si>
  <si>
    <t xml:space="preserve">Detective Fiction, Teamwork, Rich Male Lead, Investigation, Non-MDL Remake, Team Leader Female Lead, Immature Male Lead, Childish Male Lead, Character Development, Heir Male Lead </t>
  </si>
  <si>
    <t>Ahn Bo Hyun, Park Ji Hyun, Kang Sang Jun, Kim Shin Bi, Jang Hyun Sung</t>
  </si>
  <si>
    <t>#59</t>
  </si>
  <si>
    <t>Arthdal Chronicles Part 2</t>
  </si>
  <si>
    <t>Ta Gon has now become the most powerful man in Arthdal. He has an affectionate relationship only with Taealha, the daughter of the rival Hae Tribe, because of their shared ambitions.</t>
  </si>
  <si>
    <t xml:space="preserve">Historical,  Romance,  Fantasy,  Political </t>
  </si>
  <si>
    <t>Twins, War, Power Struggle, Revenge, Slavery, Good Twin/Evil Twin, Strong Female Lead, Character Development, Father-Daughter Relationship, Sibling</t>
  </si>
  <si>
    <t>Song Joong Ki, Kim Ji Won, Jang Dong Gun, Kim Ok Bin, Jo Sung Ha, Park Hae Joon</t>
  </si>
  <si>
    <t>#60</t>
  </si>
  <si>
    <t>Arthdal Chronicles Part 3</t>
  </si>
  <si>
    <t>Following Part I &amp; II, Ta Gon has gotten what he wants as he sits atop his throne. However, now his life and throne are threatened when Eun Seom begins to gather power among the slaves and peasants of Arth as he starts to fight back against the elite. Although Ta Gon has so far kept his half-Neanthal heritage a secret from the world, his eyes shine purple, preparing to go all out in fighting Eun Seom.</t>
  </si>
  <si>
    <t>Power Struggle, War, Supernatural Power, Strong Female Lead, Identical Twins, Curse, Revenge, Superhuman Strength, Pre-produced, Sibling</t>
  </si>
  <si>
    <t>Song Joong Ki, Kim Ji Won, Jang Dong Gun, Kim Ok Bin, Kim Sung Chul, Karata Erika</t>
  </si>
  <si>
    <t>#61</t>
  </si>
  <si>
    <t>Through the Darkness</t>
  </si>
  <si>
    <t>Back in the 1990s, the citizens of Seoul were gripped with a paralyzing fear after a series of brutal attacks and murders occurred. A mysterious figure dubbed â€˜Red Capâ€™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</si>
  <si>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 xml:space="preserve">Thriller, Mystery, Crime, Drama </t>
  </si>
  <si>
    <t>Investigation, Murder, Calm Male Lead, Suspense, 1990s, Adapted From A Novel, 2000s, Empathic Male Lead, Time Skip, Sexual Assault</t>
  </si>
  <si>
    <t>Kim Nam Gil, Jin Seon Kyu, Kim So Jin, Ryeoun, Lee Dae Yeon, Kim Won Hae</t>
  </si>
  <si>
    <t>#62</t>
  </si>
  <si>
    <t>Dr. Romantic 2</t>
  </si>
  <si>
    <t>A â€œreal doctorâ€ story set in a small, humble hospital called Doldam Hospital. It is a story about people who meet Kim Sa Bu, a genius doctor, and discover â€œreal romance.â€</t>
  </si>
  <si>
    <t xml:space="preserve">Romance,  Drama,  Medical,  Melodrama </t>
  </si>
  <si>
    <t>Hospital, Smart Male Lead, Character Development, Bickering Couple, Love/Hate Relationship, Smart Female Lead, Hardworking Female Lead, Nurse, Healing, Nervous Female Lead</t>
  </si>
  <si>
    <t>Han Seok Kyu, Ahn Hyo Seop, Lee Sung Kyung, Kim Joo Heon, Shin Dong Wook, So Ju Yeon</t>
  </si>
  <si>
    <t>#63</t>
  </si>
  <si>
    <t>Defendant</t>
  </si>
  <si>
    <t>Park Jung Woo is a prosecutor at Seoul Central District Prosecutorsâ€™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</si>
  <si>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Prison, Murder, Amnesia, Wrongfully Accused, Identity Swap, Bromance, Prisoner, Identical Twins, Suspense, Good Twin/Evil Twin</t>
  </si>
  <si>
    <t>Ji Sung, Uhm Ki Joon, Kwon Yu Ri, Oh Chang Seok, Uhm Hyun Kyung, Jung Dong Gyu</t>
  </si>
  <si>
    <t>#64</t>
  </si>
  <si>
    <t>Our Blues</t>
  </si>
  <si>
    <t>"Our Blues" takes on an omnibus-style drama, which tells the story of diverse characters that are somewhat interconnected, in one way or the other. Lee Dong Suk, a guy born on the beautiful island of Jeju, selling goods from the mainland in his truck for a living. He meets Min Sun Ah, a girl with a mysterious past, who has come to Jeju to escape that life. Park Jung Joon, a ship captain, falls in love with Lee Young Ok, a diver with a bright and bubbly personality. Jung Eun Hee, a fish shop owner, reunites with her past lover Choi Han Soo. They cross paths in Jeju Island when he returns back, after realizing that city life is not for him.</t>
  </si>
  <si>
    <t>Romance, Life, Drama, Melodrama</t>
  </si>
  <si>
    <t xml:space="preserve">Multiple Mains, Anthology, Island Setting, Middle-Aged Female Lead, Middle-Aged Male Lead, Slow Burn Story, Family, Friendship, Depression, Deaf Supporting Character </t>
  </si>
  <si>
    <t>Lee Byung Hun, Shin Min Ah, Cha Seung Won, Lee Jung Eun, Uhm Jung Hwa, Han Ji Min</t>
  </si>
  <si>
    <t>#65</t>
  </si>
  <si>
    <t>Sweet Home</t>
  </si>
  <si>
    <t>Following the death of his family in an accident, loner Cha Hyun Soo moves to a new apartment. His quiet life is soon disturbed by strange incidents that start occurring in his apartment, and throughout Korea. As people start to turn into monsters, Hyun Soo and the other residents try to survive.</t>
  </si>
  <si>
    <t xml:space="preserve">Horror,  Drama,  Sci-Fi,  Supernatural </t>
  </si>
  <si>
    <t>Monsters, Gore, Survival, Character Development, Adapted From A Webtoon, Supernatural Phenomena, Multiple Mains, Trauma, School Bullying, Attempted Suicide</t>
  </si>
  <si>
    <t>Song Kang, Lee Jin Wook, Lee Si Young, Lee Do Hyun, Kim Nam Hee, Go Min Si</t>
  </si>
  <si>
    <t>#66</t>
  </si>
  <si>
    <t>Kill Me, Heal Me</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</si>
  <si>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Jinâ€™s twin brother, Oh Ri On, a famous mystery novelist, investigates Do Hyeon and his family. (Source: MyDramaList) Edit Translation  English Ð ÑƒÑÑÐºÐ¸Ð¹ TÃ¼rkÃ§e PortuguÃªs</t>
  </si>
  <si>
    <t>Dissociative Identity Disorder, Trauma, Boss-Employee Relationship, Rich Male Lead, Mental Health, PTSD, Psychiatry, Nice Male Lead, Mean Male Lead, Rich Man/Poor Woman</t>
  </si>
  <si>
    <t>Ji Sung, Hwang Jung Eum, Park Seo Joon, Kim Yoo Ri, Oh Min Suk, Kim Young Ae</t>
  </si>
  <si>
    <t>#67</t>
  </si>
  <si>
    <t>Moon Lovers</t>
  </si>
  <si>
    <t xml:space="preserve">When a total eclipse of the sun takes place, Go Ha Jin is transported back in time to the start of the Goryeo Dynasty of Korea during King Taejo's rule. She wakes up in the body of the 16-year-old Hae Soo and finds herself living in the house of the 8th Prince Wang Wook, who is married to Hae Soo's cousin. She soon befriends several of the princes and meets the ostracized 4th Prince, Wang So. Although knowing she should not get involved in palace intrigues over the succession to the throne, she inadvertently becomes a pawn in the struggle, as several of the Princes fall in love with her. </t>
  </si>
  <si>
    <t xml:space="preserve">Historical,  Romance,  Melodrama </t>
  </si>
  <si>
    <t>Goryeo Dynasty, Power Struggle, Sibling Rivalry, Tearjerker, Adapted From A Novel, Time Travel, Death, Gwangjong, Reverse-Harem, Obsession</t>
  </si>
  <si>
    <t>Lee Joon Gi, IU, Kang Ha Neul, Hong Jong Hyun, Nam Joo Hyuk, Byun Baek Hyun</t>
  </si>
  <si>
    <t>#68</t>
  </si>
  <si>
    <t>A Business Proposal</t>
  </si>
  <si>
    <t>Shin Ha Ri is a single woman and works for a company. She has a male friend, who she has had a crush on for a long time, but she learns he has a girlfriend. Shin Ha Ri feels sad and decides to meet her friend Jin Young Seo, who is a daughter of a chaebol family. Jin Young Seo then asks Shin Ha Ri to take her place in a blind date and even offers some money for her time. Shin Ha Ri accepts her friend's offer. She goes out on the blind date as Jin Young Seo, while having the intention to get rejected by her date. When she sees her blind date, Shin Ha Ri is dumbfounded. Her blind date is Kang Tae Mu. He is the CEO of the company where she works. Kang Tae Mu is the CEO of a company that his grandfather founded. One day, his grandfather informed him of an upcoming blind date that he set up for him. Kang Tae Mu is a workaholic and he is annoyed that his grandfather sets up blind dates for him. He decides to marry the next woman whom he meets at a blind date, so he won't be disturbed from his work anymore. That woman is Shin Ha Ri, but pretending to be Jin Young Seo. On the following day, Shin Ha Ri receives a phone call from Kang Tae Mu. He asks her to marry him.</t>
  </si>
  <si>
    <t>Comedy, Romance, Drama</t>
  </si>
  <si>
    <t>Boss-Employee Relationship, Secondary Couple, Cheerful Female Lead, Fake Identity, Blind Date, Poor Female Lead, Contract Relationship, Sismance, Double Identity, Company President (CEO) Male Lead</t>
  </si>
  <si>
    <t>#69</t>
  </si>
  <si>
    <t>Misaeng</t>
  </si>
  <si>
    <t>Jang Geu Rae has played the game of Go since he was a child. When his plans of becoming a professional Go player fail, the down-and-out Geu Rae is forced to take an office job as an intern set up for him by an acquaintanceâ€™s recommendation for him to a large company called One International.</t>
  </si>
  <si>
    <t xml:space="preserve">Friendship,  Business,  Life,  Drama </t>
  </si>
  <si>
    <t>Office Worker, Workplace Abuse, Teamwork, Adapted From A Webtoon, Hardworking Male Lead, Workplace, Smart Female Lead, Strong Female Lead, Nice Male Lead, Hardworking Female Lead</t>
  </si>
  <si>
    <t>Im Si Wan, Lee Sung Min, Kang So Ra, Kang Ha Neul, Byun Yo Han, Kim Dae Myung</t>
  </si>
  <si>
    <t>#70</t>
  </si>
  <si>
    <t>Strong Woman Do Bong Soon</t>
  </si>
  <si>
    <t>Do Bong Soon is a petite, unemployed woman who is honest and kind. She appears little and sweet on the outside, but she is in fact very, very strong. For generations in her family, the women have been gifted Herculean strength to use for the greater good. If abused, however, their power will be taken away.</t>
  </si>
  <si>
    <t xml:space="preserve">Action,  Thriller,  Comedy,  Romance,  Drama,  Supernatural </t>
  </si>
  <si>
    <t>Strong Female Lead, Female Lead Action Scenes, Love Triangle, Superhuman Strength, Strong Female Characters, Game Developer, Gangster, Nice Male Lead, Bodyguard, Workplace</t>
  </si>
  <si>
    <t>Park Bo Young, Park Hyung Sik, Kim Ji Soo, Jun Suk Ho, Shim Hye Jin, Yoo Jae Myung</t>
  </si>
  <si>
    <t>#71</t>
  </si>
  <si>
    <t>The Fiery Priest</t>
  </si>
  <si>
    <t>Kim Hae Il is a Catholic priest. He makes spiteful remarks and he can be rude to others. Koo Dae Young is a detective. He talks a lot and he is also timid. Park Kyung Sun is a prosecutor. She is smart and beautiful. She is also ambitious as a prosecutor and good at her job.</t>
  </si>
  <si>
    <t xml:space="preserve">Action,  Mystery,  Comedy,  Crime </t>
  </si>
  <si>
    <t>Badass Male Lead, Priest, Eccentric Male Lead, Sassy Female Lead, Bromance, Aggressive Male Lead, Church, Strong Friendship, PTSD, Sismance</t>
  </si>
  <si>
    <t>Kim Nam Gil, Kim Sung Kyun, Lee Ha Nee, Go Jun, Geum Sae Rok, Jeon Sung Woo</t>
  </si>
  <si>
    <t>#72</t>
  </si>
  <si>
    <t xml:space="preserve">Bloodhounds </t>
  </si>
  <si>
    <t>When reserved rookie boxer Kim Geon U squares off against loquacious southpaw Hong U Jin, Geon U narrowly prevails â€” but the two former marines become fast friends. As their friendship grows, so do the financial woes that plague Geon Uâ€™s mother. To save her quaint cafÃ© from going under, she signs off on a hefty loan. But when it turns out sheâ€™s been targeted by Smile Capital â€” a ruthless loan shark business â€” Geon U and U Jin do everything in their power to make it right. Fate intervenes as the pair end up working for a generous money lender whose foster daughter is dead set on taking down the loan sharks.</t>
  </si>
  <si>
    <t>Action, Thriller, Crime, Drama</t>
  </si>
  <si>
    <t>Bromance, Debt, Graphic Violence, Skilled Fighter, Boxer Male Lead, Friendship, Teamwork, Boxing, COVID-19, Fraud</t>
  </si>
  <si>
    <t>Woo Do Hwan, Lee Sang Yi, Huh Joon Ho, Park Sung Woong</t>
  </si>
  <si>
    <t>#73</t>
  </si>
  <si>
    <t>My Name</t>
  </si>
  <si>
    <t>Following her father's murder, a revenge-driven woman puts her trust in a powerful crime boss â€” and enters the police force under his direction.</t>
  </si>
  <si>
    <t xml:space="preserve">Action,  Thriller,  Crime </t>
  </si>
  <si>
    <t>Revenge, Undercover Agent, Strong Female Lead, Double Identity, Crime Boss, Gang, Noir, Strong Male Lead, Drugs, Death</t>
  </si>
  <si>
    <t>Han So Hee, Park Hee Soon , Ahn Bo Hyun, Lee Hak Joo, Kim  Sang Ho, Jang Yool</t>
  </si>
  <si>
    <t>#74</t>
  </si>
  <si>
    <t>Hotel del Luna</t>
  </si>
  <si>
    <t xml:space="preserve">Nestled deep in the heart of Seoulâ€™s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establishmentâ€™s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</si>
  <si>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 xml:space="preserve">Horror,  Comedy,  Romance,  Fantasy </t>
  </si>
  <si>
    <t>Boss-Employee Relationship, Immortal, Strong Female Lead, Ghost, Ghost-seeing Male Lead, Supernatural, Hotel, Rich Female Lead, Nice Male Lead, Strong Friendship</t>
  </si>
  <si>
    <t>IU, Yeo Jin Goo, Shin Jung Keun, Bae Hae Seon, P.O, Jo Hyun Chul</t>
  </si>
  <si>
    <t>#75</t>
  </si>
  <si>
    <t>Begins Youth</t>
  </si>
  <si>
    <t>The drama follows seven boys navigating school and personal growth, each facing challenges like family struggles, loss, poverty, and rejection. After returning to Songju-si, Kim Hwan meets six boys who initially view him with suspicion, but over time, they become close friends, bonding over shared hardships. As they support each other, Hwan grows fond of Songju-si and wishes to stay. However, his father, Kim Chang Jun, disapproves of the friendship and demands Hwan distance himself, leading Hwan to confront his emotions and stand up for himself.</t>
  </si>
  <si>
    <t>Life, Youth, Drama, Fantasy</t>
  </si>
  <si>
    <t xml:space="preserve">Friendship, Violence Against Children, Alcoholic Supporting Character, Emotionally Strong Male Lead, Tsundere Male Lead, Chronic Illness, False Rumor, Manipulative Parent, Energetic Male Lead, Irresponsible Parent </t>
  </si>
  <si>
    <t>Seo Ji Hoon, Noh Jong Hyun, Ahn Ji Ho, Seo Young Joo, Kim Yoon Woo, Jung Woo Jin</t>
  </si>
  <si>
    <t>#76</t>
  </si>
  <si>
    <t>Hot Stove League</t>
  </si>
  <si>
    <t>About the preparation period of a major league baseball team. The drama focuses on a loser team that prepares for an extraordinary season upon the arrival of their new general manager, and each episode will focus on a problem they have as they prepare to become a stronger team.</t>
  </si>
  <si>
    <t xml:space="preserve">Drama,  Sports,  Melodrama </t>
  </si>
  <si>
    <t>Hardworking Female Lead, Baseball, Hardworking Male Lead, Workplace, Teamwork, General Manager, Corruption, Successful Male Lead, Tough Male Lead, Calm Male Lead</t>
  </si>
  <si>
    <t>Namkoong Min, Park Eun Bin, Cho Byeong Kyu, Oh Jung Se, Son Jong Hak, Kim Do Hyun</t>
  </si>
  <si>
    <t>#77</t>
  </si>
  <si>
    <t>Dr. Romantic</t>
  </si>
  <si>
    <t>Kim Sa Bu was once a famous surgeon at the peak of his career at a major hospital. But he suddenly gives it all up one day to live in seclusion and work as a neighborhood doctor in a small town. He now goes by â€œTeacher Kimâ€ and refers to himself as the â€œRomantic Doctorâ€.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</si>
  <si>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 xml:space="preserve">Romance,  Drama,  Medical </t>
  </si>
  <si>
    <t>Surgeon, Strong Male Lead, Smart Male Lead, Strong Female Characters, Hardworking Female Lead, Hardworking Male Lead, Character Development, Smart Female Lead, Boss-Employee Relationship, Slow Burn Romance</t>
  </si>
  <si>
    <t>Han Seok Kyu, Yoo Yeon Seok, Seo Hyun Jin, Choi Jin Ho, Yang Se Jong, Jang Hyuk Jin</t>
  </si>
  <si>
    <t>#78</t>
  </si>
  <si>
    <t>Descendants of the Sun</t>
  </si>
  <si>
    <t>A love story that develops between a surgeon and a special forces officer.</t>
  </si>
  <si>
    <t xml:space="preserve">Action,  Comedy,  Romance,  Melodrama </t>
  </si>
  <si>
    <t>Soldier, Hardworking Female Lead, Multiple Couples, Bromance, Hardworking Male Lead, Charming Male Lead, Gun Violence, Filmed Abroad, Friendship, Strong Friendship</t>
  </si>
  <si>
    <t>Song Joong Ki, Song Hye Kyo, Jin Goo, Kim Ji Won, Lee Seung Jun, Seo Jung Yeon</t>
  </si>
  <si>
    <t>#79</t>
  </si>
  <si>
    <t>Law School</t>
  </si>
  <si>
    <t>When a grim incident occurs at their prestigious school, justice through law is put to the test by a tough law professor and his ambitious students.</t>
  </si>
  <si>
    <t>Smart Male Lead, School, Student, University, Death, Hardworking Female Lead, Rich Male Lead, Law Student, Campus Life, Nice Male Lead</t>
  </si>
  <si>
    <t>Kim Myung Min, Kim Bum, Ryu Hye Young, Lee Jung Eun, Lee Soo Kyung, Lee David</t>
  </si>
  <si>
    <t>#80</t>
  </si>
  <si>
    <t>Strangers from Hell</t>
  </si>
  <si>
    <t>Yoon Jong Woo is a young guy in his 20s who moves from the countryside to Seoul after his college friend, Jae Ho, offers him a job. While looking for a place to live, he stumbles upon Eden Gosiwon, a cheap hostel that shares the kitchen and bathroom with other residents. He is not thrilled about the quality of the place or the other abnormal residents, such as his next-door neighbor Seo Moon Jo, a charismatic dentist. Nevertheless, Jong Woo decides to put up with it for 6 months until he saves enough money to move out. However, mysterious events start occurring in the apartment, causing Jong Woo to begin fearing the apartment's residents.</t>
  </si>
  <si>
    <t xml:space="preserve">Thriller,  Horror,  Psychological,  Drama </t>
  </si>
  <si>
    <t>Adapted From A Webtoon, Murder, PTSD, Gaslighting, Mental Illness, Mental Torment, Hostel, Trauma, Torture, Psychopath</t>
  </si>
  <si>
    <t>Im Si Wan, Lee Dong Wook, Lee Jung Eun, Ahn Eun Jin, Park Jong Hwan, Lee Joong Ok</t>
  </si>
  <si>
    <t>#81</t>
  </si>
  <si>
    <t>Live</t>
  </si>
  <si>
    <t>The drama revolves around the incidents that occur in the police force and the joy, sorrow, and pain that police officers experience as they try to protect justice.</t>
  </si>
  <si>
    <t xml:space="preserve">Friendship,  Comedy,  Romance,  Crime </t>
  </si>
  <si>
    <t>Teamwork, Violence, Strong Friendship, Slice Of Life, Policewoman, Strong Female Lead, Smart Female Lead, Male Chases Female First, Rape, Nice Male Lead</t>
  </si>
  <si>
    <t>Lee Kwang Soo, Jung Yu Mi, Bae Sung Woo, Bae Jong Ok, Sung Dong Il, Jang Hyun Sung</t>
  </si>
  <si>
    <t>#82</t>
  </si>
  <si>
    <t>Tunnel</t>
  </si>
  <si>
    <t>In 1986, Park Gwang Ho works as an excellent and enthusiastic detective. His life changes when heâ€™s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</si>
  <si>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 xml:space="preserve">Thriller,  Mystery,  Sci-Fi,  Fantasy </t>
  </si>
  <si>
    <t>Time Travel, Murder, Criminal Profiler, Serial Killer, Bromance, Hardworking Male Lead, Hidden Identity, Strong Female Lead, Character Development, Slight Romance</t>
  </si>
  <si>
    <t>Choi Jin Hyuk, Yoon Hyun Min, Lee Yoo Young, Jo Hee Bong, Kim Byung Chul, Kang Ki Young</t>
  </si>
  <si>
    <t>#83</t>
  </si>
  <si>
    <t>My Liberation Notes</t>
  </si>
  <si>
    <t>8.6</t>
  </si>
  <si>
    <t>Set in Sanpo Village where more people leave than remain, the three Yeom siblings, Chang Hee, Mi Jung, and Ki Jung, wish to escape from a life rife with uncertainty. A mysterious man, Mr. Goo, moves into their neighbourhood. He is a drunkard with the look of someone with many burdens and secrets. His cautious personality and preference for keeping to himself make him the subject of gossip. Mi Jung, the youngest and most timid Yeom sibling, decides to approach him.</t>
  </si>
  <si>
    <t>Slow Burn Story, Loneliness, Introverted Female Lead, Alcoholic Male Lead, Slow Burn Romance, Alcoholism, Multiple Mains, Character Development, Inner Monologue, Multiple Couples</t>
  </si>
  <si>
    <t>Kim Ji Won, Lee Min Ki, Son Seok Koo, Lee El, Lee Ki Woo, Chun Ho Jin</t>
  </si>
  <si>
    <t>#84</t>
  </si>
  <si>
    <t>Partners for Justice 2</t>
  </si>
  <si>
    <t>In crime and in life, all contact leaves a trace. There is no perfect crime and our hero and heroine have the ultimate cooperation. This drama continues the tale of a forensic scientist and a prosecutor who make the best of teams.</t>
  </si>
  <si>
    <t xml:space="preserve">Mystery,  Law,  Drama,  Medical </t>
  </si>
  <si>
    <t>Forensic Science, Prosecutor Female Lead, Doctor Male Lead, Rich Female Lead, Death, Murder, Investigation</t>
  </si>
  <si>
    <t>Jung Jae Young, Jung Yoo Mi, Oh Man Suk, Noh Min Woo, Kang Seung Hyun, Park Jun Gyu</t>
  </si>
  <si>
    <t>#85</t>
  </si>
  <si>
    <t>Jewel in the Palace</t>
  </si>
  <si>
    <t>About 500 years ago during the time of Chosun Dynasty, Korea boasted a rigidly hierarchical and male dominated social structure. Based on a true story about a legendary girl, Jang Geum, who became the first woman to be the supreme royal physician of her times. Despite her poor condition as a low class girl in the male dominated society, Jang Geum overcame a series of social discrimination and landed herself as a royal cook, later becoming the royal physician, then ultimately the physician in charge of the king. She was even given by the king the title "The Great Jang Geum." The story of her checkered life on her success and breakdown as well as her love story beautifully unfold.</t>
  </si>
  <si>
    <t xml:space="preserve">Food,  Historical,  Romance,  Medical </t>
  </si>
  <si>
    <t>Cooking, Strong Female Lead, Royal Rules And Etiquette, Joseon Dynasty, Royal Cook, Doctor Female Lead, Faithful Male Lead, Smart Female Lead, Melodrama, Drama</t>
  </si>
  <si>
    <t>Lee Young Ae, Ji Jin Hee, Hong Ri Na, Im Ho, Yang  Mi Kyung, Kyeon Mi Ri</t>
  </si>
  <si>
    <t>#86</t>
  </si>
  <si>
    <t>It's Okay, That's Love</t>
  </si>
  <si>
    <t xml:space="preserve">Despite being a bit of a prickly pear, Jang Jae Yeol has become famous for authoring mystery novels and for hosting a popular radio show. While sitting on a talk show panel with psychiatrist Ji Hae Soo, it became clear to all that the two just rubbed each other the wrong way. </t>
  </si>
  <si>
    <t>Strong Female Lead, Psychiatry, Mental Health, Trauma, Charming Male Lead, Healing, Adult Romance, Melodrama, Cohabitation, Housemates</t>
  </si>
  <si>
    <t>Jo In Sung, Gong Hyo Jin, Sung Dong Il, Lee Kwang Soo, Jin Kyung, Lee Sung Kyung</t>
  </si>
  <si>
    <t>#87</t>
  </si>
  <si>
    <t>Love Scout</t>
  </si>
  <si>
    <t>A successful and confident woman, Kang Ji Yun, is the CEO of a headhunting company. To survive in the fiercely competitive headhunting field, she puts everything she has into her work. Outside of her job, she doesn't know how to do anything. She has a secretary named Yoo Eun Ho who takes care of pretty much everything for her. Unlike his boss, the secretary is friendly, well-mannered, and considerate of other people. He is a single father, who is also good at parenting and housework.</t>
  </si>
  <si>
    <t>Business, Romance, Life, Drama</t>
  </si>
  <si>
    <t xml:space="preserve">Gender Role Reversal, Warm Man/Cold Woman, Hardworking Female Lead, Father-Son Relationship, Boss-Employee Relationship, Nice Male Lead, Emotionally Strong Male Lead, Emotionally Strong Female Lead, Insomniac Female Lead, Mentor-Mentee Relationship </t>
  </si>
  <si>
    <t>Han Ji Min, Lee Jun Hyuk, Kim Do Hoon, Kim Yoon Hye</t>
  </si>
  <si>
    <t>#88</t>
  </si>
  <si>
    <t>Little Women</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</si>
  <si>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whatâ€™s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familyâ€™s financial situation, she enters an art high school with her natural talent.</t>
  </si>
  <si>
    <t>Female Centered Plot, Sisters' Relationship, Poor Female Lead, Poor Family, Multiple Mains, Reporter Female Lead, Investigation, Murder, Outcast Female Lead, Teenager Female Lead</t>
  </si>
  <si>
    <t>Kim Go Eun, Nam Ji Hyun, Park Ji Hoo, Wi Ha Joon, Uhm Ki Joon, Uhm Ji Won</t>
  </si>
  <si>
    <t>#89</t>
  </si>
  <si>
    <t>Ghost Doctor</t>
  </si>
  <si>
    <t>Cha Young Min is a genius doctor, with excelling skills at surgery, but he is arrogant and selfish. One day, he gets involved in an accident and due to this, his spirit possesses another doctor's body, Seung Tak. These two doctors are complete opposites, with opposite personalities and medical abilities. Young Min is arrogant and cold-blooded, only cares about his career and doesn't care about any of his patient's personal stories. Seung Tak is the luckiest and richest resident doctor whose grandfather is the founder of Myung-shin hospital and whose mother is the chairman of the hospital. Never wanting to be a good doctor, he becomes possessed by a ghost doctor.</t>
  </si>
  <si>
    <t>Comedy, Medical, Fantasy, Supernatural</t>
  </si>
  <si>
    <t xml:space="preserve">Doctor Male Lead, Spirit, Bromance, Ghost, Spirit Possession, Doctor Female Lead, Arrogant Male Lead, Ghost-seeing Male Lead, Rich Male Lead, Slight Romance </t>
  </si>
  <si>
    <t>Rain, Kim Bum, Uee, Son Na Eun, Sung Dong Il, Tae In Ho</t>
  </si>
  <si>
    <t>#90</t>
  </si>
  <si>
    <t>Eulachacha Waikiki</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</si>
  <si>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â€œWaikikiâ€ in Itaewon where many foreigners come to stay.  Although they have no clue how to run it, theyâ€™re eager to earn money to pay for the production of their upcoming film.</t>
  </si>
  <si>
    <t xml:space="preserve">Comedy,  Life,  Youth,  Drama </t>
  </si>
  <si>
    <t>Housemates, Bromance, Friends To Lovers, Motherhood, Cohabitation, Babysitting, Single Mother, Actor, Childhood Friends, Secondary Couple</t>
  </si>
  <si>
    <t>Kim Jung Hyun, Lee Yi Kyung, Son Seung Won, Jung In Sun, Go Won Hee, Lee Joo Woo</t>
  </si>
  <si>
    <t>#91</t>
  </si>
  <si>
    <t>The Bridal Mask</t>
  </si>
  <si>
    <t xml:space="preserve">Lee Kang To is an ambitious and callous Korean officer employed by the Japanese colonists. Despite his mother's disapproval of his work and his own brother's antagonistic history with the Japanese, Kang To continues to play by the colonist's rules in hopes of becoming successful and bringing his family out of poverty. However, a mysterious figure wearing a traditional Bridal Mask always seems to get in Kang To's way. The Bridal Mask appears as a Zorro-like figure who protects the people from the Japanese colonists' oppression and abuse of power. An unexpected turn of events brings Kang To to cross paths with the mysterious Bridal Mask, changing his future and the nation's history forever. </t>
  </si>
  <si>
    <t xml:space="preserve">Action,  Historical,  Romance,  Political </t>
  </si>
  <si>
    <t>Japanese Colonial Rule, Hidden Identity, Revenge, Rebellion, Murder, Love Triangle, Adapted From A Manhwa, Investigation, Drama, Sword-fight</t>
  </si>
  <si>
    <t>Joo Won, Jin Se Yeon, Park Ki Woong, Han Chae Ah, Shin Hyun Joon, Chun Ho Jin</t>
  </si>
  <si>
    <t>#92</t>
  </si>
  <si>
    <t xml:space="preserve">Revenant </t>
  </si>
  <si>
    <t>When a portal to another world opens, demons are unleashed. Ku San Young becomes possessed by one of them, and Yeom Hae Sang, who can see the demons, joins her in uncovering the truth behind a series of mysterious deaths linked to five sacred objects. Ku San Young juggles part-time work and studying to become a public officer. After receiving items from her deceased father, she becomes entangled in strange deaths and begins to change. Yeom Hae Sang, a wealthy folklore professor with the ability to see demons, witnessed his mother's death at their hands. He meets Ku San Young and confronts the demon that killed his mother. Lee Hong Sae, a career-focused police lieutenant, becomes embroiled in these mysterious events through his involvement with Ku San Young and Yeom Hae Sang.</t>
  </si>
  <si>
    <t>Thriller, Mystery, Horror, Supernatural</t>
  </si>
  <si>
    <t xml:space="preserve">Spirit Possession, Occult, Folklore, Spirit, Emotionally Strong Female Lead, Student Female Lead, Winter Setting, Professor Male Lead, Detective Male Lead, Difficult Childhood </t>
  </si>
  <si>
    <t>Kim Tae Ri, Oh Jung Se, Hong Kyung</t>
  </si>
  <si>
    <t>#93</t>
  </si>
  <si>
    <t>Children of Nobody</t>
  </si>
  <si>
    <t>Cha Woo Kyung is a child counselor who works at a childrenâ€™s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</si>
  <si>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 xml:space="preserve">Thriller,  Mystery,  Psychological,  Crime,  Drama </t>
  </si>
  <si>
    <t>Trauma, Child Abuse, Smart Female Lead, Child Behavior Issues, Abuse, Murder, Tragic Past, Psychiatry, Child Abandonment, Domestic Violence</t>
  </si>
  <si>
    <t>Kim Sun Ah, Lee Yi Kyung, Nam Gyu Ri, N, Joo Seok Tae, Na Young Hee</t>
  </si>
  <si>
    <t>#94</t>
  </si>
  <si>
    <t>Good Manager</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</si>
  <si>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heâ€™d rather fight against corporate corruption and fight for employeesâ€™ rights than complete the mission he originally came to do. Can he succeed at his new objective against all odds?</t>
  </si>
  <si>
    <t xml:space="preserve">Business,  Comedy,  Crime,  Drama </t>
  </si>
  <si>
    <t>Eccentric Male Lead, Corruption, Bromance, Social Satire, Smart Male Lead, Revenge, Accountant, Enemy Mine, Smart Female Lead, Strong Female Lead</t>
  </si>
  <si>
    <t>Namkoong Min, Nam Sang Mi, Lee Jun Ho, Jung Hye Sung, Kim Won Hae, Kim Kang Hyun</t>
  </si>
  <si>
    <t>#95</t>
  </si>
  <si>
    <t>The King of Pigs</t>
  </si>
  <si>
    <t>Two friends meet up and recall their experiences as victims of school bullying when they receive a message from a friend from 20 years ago and mysterious serial killings begin to occur. Kyung Min lives with the trauma of the school violence he experienced twenty years ago and an unexpected case causes his suppressed emotions to reappear. Meanwhile, Detective Jong Suk receives a mysterious message sent from a friend from 20 years ago which reminds him of the school violence that took place back then. Chasing the mysterious message, he tries to put a stop to the murders. Through these characters with tragic fates, the drama touches on the origin of school violence and the bullying that pervades modern society.</t>
  </si>
  <si>
    <t>Thriller, Mystery, Drama</t>
  </si>
  <si>
    <t>School Bullying, Detective Male Lead, Detective Female Lead, School Violence, Flashback To Past, Revenge, Gore, Murder, Childhood Trauma, Extreme Violence</t>
  </si>
  <si>
    <t>Kim Dong Wook, Kim Sung Gyu, Chae Jung An, Choi Hyun Jin, Sim Hyun Seo, Lee Chan Yoo</t>
  </si>
  <si>
    <t>#96</t>
  </si>
  <si>
    <t>Big Mouth</t>
  </si>
  <si>
    <t>Park Chang Ho is known since his school days as "Big Mouth" because he talks big and promises big things but can not follow it up. He is also an infamous lawyer with a very low rate of success who was hired by a Mayor because of his incompetence. Unfortunately, he was framed as the notorious and mysterious swindler "Big Mouse" and sent to prison. Go Mi Ho is Park Chang Ho's loving wife who works as a nurse. She has strong personality and will do anything to prove the innocence of her husband and help solve the case the Mayor has given to her husband. Will Go Mi Ho be successful in proving her husband's innocence? Or, will her investigations lead to opening a can of worms?</t>
  </si>
  <si>
    <t>Thriller, Mystery, Law, Drama</t>
  </si>
  <si>
    <t>Suspense, Death, Investigation, Lawyer Male Lead, Murder, Brave Female Lead, Hardship, Greed, Wrongfully Accused, Mistaken Identity</t>
  </si>
  <si>
    <t>Lee Jong Suk, Im Yoon Ah, Kim Joo Heon, Kwak Dong Yeon, Yang Kyung Won, Ok Ja Yeon</t>
  </si>
  <si>
    <t>#97</t>
  </si>
  <si>
    <t>Go Back Couple</t>
  </si>
  <si>
    <t>38-years-old married couple, Choi Ban Do and Ma Jin Joo, were in love when they got married but now, hate each other and regret marrying at such a young age. Choi Ban Do has been burdened with being the breadwinner, and Ma Jin Joo is a housewife with low self-esteem. The couple travels through time and finds themselves as 20-year-old university students when they met for the first time.</t>
  </si>
  <si>
    <t xml:space="preserve">Comedy,  Romance,  Life,  School,  Drama,  Family,  Supernatural </t>
  </si>
  <si>
    <t>Time Travel, Love/Hate Relationship, Marriage, Mother-Daughter Relationship, Misunderstanding, 1990s, Failing Marriage, Married Couple, Sassy Female Lead, Sismance</t>
  </si>
  <si>
    <t>Jang Na Ra, Son Ho Jun, Heo Jung Min, Han Bo Reum, Jang Ki Yong, Go Bo Gyeol</t>
  </si>
  <si>
    <t>#98</t>
  </si>
  <si>
    <t>Empress Ki</t>
  </si>
  <si>
    <t>Genghis Khan built an empire that spanned vast regions in East Asia and East Europe. And there was one woman who held immense power in the Yuan Dynasty, which Genghis Khan founded, for 37 years. She was neither of Mongol descent nor from the Han Chinese. She came from Goryeo, a small kingdom in the Far East. She was taken to Mongol against her will as a Gungnyeo (palace women) but somehow overcame her lowly status to become the last  empress in another land. Her name was Empress Ki.</t>
  </si>
  <si>
    <t xml:space="preserve">Historical,  Romance,  Melodrama,  Political </t>
  </si>
  <si>
    <t>Smart Female Lead, Strong Female Lead, Power Struggle, Possessive Male Lead, Love Triangle, Female Warrior, Yuan Dynasty, Revenge, Cross-Dressing, Goryeo Dynasty</t>
  </si>
  <si>
    <t>Ha Ji Won, Ji Chang Wook, Joo Jin Mo, Baek Jin Hee, Kim Ji Han, Kim Seo Hyung</t>
  </si>
  <si>
    <t>#99</t>
  </si>
  <si>
    <t>My Father is Strange</t>
  </si>
  <si>
    <t>This drama is about a family that lives on the outskirts of Seoul. Byun Han Soo is the father and His wife, Na Yeong Shil is a dedicated, responsible mother to his three daughters and one son including Hye Yeong, Mi Yeong, Ra Yeong, and Joon Young. Suddenly one day, Ahn Joong Hee shows up at the household and declares that he is the son of the family. Joong Hee is an actor who used to be a member of an idol group. He begins to live with them.</t>
  </si>
  <si>
    <t xml:space="preserve">Comedy,  Romance,  Drama,  Family </t>
  </si>
  <si>
    <t>Family Secret, Sisterhood, Eccentric Female Lead, Fake Incest, Multiple Couples, Strong Female Lead, Father-Daughter Relationship, Mother-Daughter Relationship, Mother-Son Relationship, Father-Son Relationship</t>
  </si>
  <si>
    <t>Kim Yeong Cheol, Kim Hae Sook, Ryu Soo Young, Lee Yoo Ri, Lee Joon, Jung So Min</t>
  </si>
  <si>
    <t>#100</t>
  </si>
  <si>
    <t xml:space="preserve">High School Return of a Gangster </t>
  </si>
  <si>
    <t>Kim Deuk Pal, a 47-year-old gangster and #2 in his gang, dreams of attending university despite his lack of education. After encountering a suicidal high school student, Song Yi Heon, Deuk Pal's spirit possesses Yi Heon's body. Deuk Pal learns that Yi Heon is bullied, leading him to seek revenge on the bullies. In Yi Heon's body, Deuk Pal befriends classmate Choi Se Kyung, a model student hiding his own struggles with domestic violence.</t>
  </si>
  <si>
    <t>Life, Youth, Fantasy</t>
  </si>
  <si>
    <t xml:space="preserve">Gangster Male Lead, School Bullying, Censored Adaptation Of Same-sex Original Work, Character Development, Body Swap, Friendship, Student Male Lead, School Setting, School Friends' Relationship, Middle-Aged Male Lead </t>
  </si>
  <si>
    <t>Yoon Chan Young, Bong Jae Hyun, Lee Seo Jin, Seo Tae Hwa</t>
  </si>
  <si>
    <t>#101</t>
  </si>
  <si>
    <t>Once Again</t>
  </si>
  <si>
    <t xml:space="preserve">"Once Again" is the story of the eventful Song family who canâ€™t get a day of peace and their neighbors in Yongju Market. </t>
  </si>
  <si>
    <t>Divorce, Family Relationship, Multiple Couples, Multiple Mains, Marriage, Slice Of Life, Married Couple, Age Gap, Sibling, Secret Relationship</t>
  </si>
  <si>
    <t>Chun Ho Jin, Cha Hwa Yun, Lee Jung Eun, Oh Dae Hwan, Lee Min Jung, Lee Sang Yeob</t>
  </si>
  <si>
    <t>#102</t>
  </si>
  <si>
    <t>Missing</t>
  </si>
  <si>
    <t>A village holds spirits of missing, deceased people. A search to find the missing bodies and discover the truth behind their disappearance occurs.</t>
  </si>
  <si>
    <t xml:space="preserve">Thriller,  Mystery,  Supernatural </t>
  </si>
  <si>
    <t>Con Artist, Ghost-seeing Male Lead, Spirit, Missing Person, Detective, Hacker, Bromance, Social Justice, Righteous Male Lead, Death</t>
  </si>
  <si>
    <t>Go Soo, Heo Joon Ho, Ahn So Hee, Ha Joon, Seo Eun Soo, Song Geon Hee</t>
  </si>
  <si>
    <t>#103</t>
  </si>
  <si>
    <t>Stranger 2</t>
  </si>
  <si>
    <t>The prosecutor's office and the police find themselves on opposing sides. The prosecutors, including elite prosecutor Woo Tae Ha, want discretionary power over investigations. Meanwhile, the police, including Choi Bit, tries to get complete investigative authority that is independent of the prosecutor's office.</t>
  </si>
  <si>
    <t>Corruption, Calm Male Lead, Smart Male Lead, Suspense, Emotional Blunting, Power Struggle, Strong Female Lead, Strong Male Lead, Policewoman, Alexithymia</t>
  </si>
  <si>
    <t>Jo Seung Woo, Bae Doo Na, Jeon Hye Jin, Choi Moo Sung, Lee Joon Hyuk, Yoon Se Ah</t>
  </si>
  <si>
    <t>#104</t>
  </si>
  <si>
    <t>Designated Survivor</t>
  </si>
  <si>
    <t>Park Moo Jin is a former professor of chemistry and now holds the Minister of Environment position. He doesn't have ambition, personal beliefs or political sense. One day, the cabinet is gathered in the National Assembly for the president's address. A terror attack takes place, killing many government officials, including the president and ministers. Park Moo Jin is the highest ranking government official left alive. He doesn't want the position, but he must sit as the acting president for 60 days. Park Moo Jin chases after the person or group responsible for the attack as he grows as a national leader.</t>
  </si>
  <si>
    <t xml:space="preserve">Thriller,  Mystery,  Drama,  Political </t>
  </si>
  <si>
    <t>Power Struggle, Conspiracy, Blue House, Lying, Social Commentary, Terrorism, Deception, National Intelligence Service, National Assembly, Death</t>
  </si>
  <si>
    <t>Ji Jin Hee, Son Seok Koo, Kang Han Na, Heo Joon Ho, Lee Joon Hyuk, Choi Yoon Young</t>
  </si>
  <si>
    <t>#105</t>
  </si>
  <si>
    <t>Juvenile Justice</t>
  </si>
  <si>
    <t>Sim Eun Seok is an elite judge with a prickly personality who hates juvenile offenders. After she gets assigned to a local juvenile court, she tries to balance her aversion to minor offenders with firm beliefs on justice and punishment, as she goes out of her way to break custom and administer her own ways of punishing the offenders.</t>
  </si>
  <si>
    <t>Law, Drama</t>
  </si>
  <si>
    <t>Hardworking Female Lead, Strong Female Lead, Tough Female Lead, Kind Male Lead, Hardworking Male Lead, Redemption, Violence, Runaway Teenager, Justice System, Web Series</t>
  </si>
  <si>
    <t>Kim Hye Soo, Kim Mu Yeol, Lee Sung Min, Lee Jung Eun, Lee Sang Hee, Park Ji Yun</t>
  </si>
  <si>
    <t>#106</t>
  </si>
  <si>
    <t>Cruel City</t>
  </si>
  <si>
    <t>Portrays the cruel life of the drug cartels and the story of revenge for a loved one.</t>
  </si>
  <si>
    <t xml:space="preserve">Action,  Thriller,  Romance,  Crime </t>
  </si>
  <si>
    <t>Badass Male Lead, Gang, Bromance, Strong Female Lead, Gangster, Strong Male Lead, Smart Male Lead, Sismance, Steamy Kiss, Drug Dealer</t>
  </si>
  <si>
    <t>Jung Kyung Ho, Nam Gyu Ri, Lee Jae Yoon, Son Chang Min, Kim Yoo Mi, Choi Moo Sung</t>
  </si>
  <si>
    <t>#107</t>
  </si>
  <si>
    <t xml:space="preserve">My Perfect Stranger </t>
  </si>
  <si>
    <t>Yun Hae Jun, the youngest anchor at his broadcasting station, and Baek Yun Yeong, a publishing company employee who once dreamed of being a writer, travel back in time to 1987. In the past, Yun Hae Jun investigates a serial murder case, while Baek Yun Yeong tries to stop her parents' marriage. They soon discover their goals are linked.</t>
  </si>
  <si>
    <t>Mystery, Romance, Drama, Sci-Fi</t>
  </si>
  <si>
    <t xml:space="preserve">Murder, Time Travel, Investigation, 1980s, Death, Calm Male Lead, Smart Male Lead, Age Gap [Drama Life], Age Gap [Real Life], News Presenter Male Lead </t>
  </si>
  <si>
    <t>Kim Dong Wook, Jin Ki Joo, Seo Ji Hye, Lee Won Jung</t>
  </si>
  <si>
    <t>#108</t>
  </si>
  <si>
    <t>My Love from the Star</t>
  </si>
  <si>
    <t>Do Min Joon is an alien who landed on Earth 400 years ago during the Joseon Dynasty period. He possesses a near perfect appearance and enhanced physical abilities involving his vision, hearing and speed. Later, he discovers that he has three months left on Earth. And that is when he meets Cheon Song Yi, the biggest Hallyu star in Korea.</t>
  </si>
  <si>
    <t xml:space="preserve">Comedy,  Romance,  Drama,  Supernatural </t>
  </si>
  <si>
    <t>Alien, Interspecies Romance, Famous Actress, Celebrity, Professor, Sassy Female Lead, Superhuman Strength, Time Manipulation, Cyberbullying, Star Crossed Lovers</t>
  </si>
  <si>
    <t>Kim Soo Hyun, Jun Ji Hyun, Park Hae Jin, Yoo In Na, Shin Sung Rok, Kim Chang Wan</t>
  </si>
  <si>
    <t>#109</t>
  </si>
  <si>
    <t>Mystic Pop-Up Bar</t>
  </si>
  <si>
    <t>â€œMystic Pop-Up Barâ€ is based on a popular webtoon of the same name and tells the story of a mysterious pojangmacha (outdoor drinking establishment) run by a prickly woman and an innocent part-timer who visit customers in their dreams to help resolve their problems.</t>
  </si>
  <si>
    <t xml:space="preserve">Mystery,  Comedy,  Family,  Fantasy </t>
  </si>
  <si>
    <t>Afterlife, Tragic Past, Grudge, Hot-tempered Female Lead, Spirit, Adapted From A Webtoon, Special Power, Family Relationship, Flashback To Past, Food</t>
  </si>
  <si>
    <t>Hwang Jung Eum, Yook Sung Jae, Choi Won Young, Jung Da Eun, Lee Joon Hyuk, Na In Woo</t>
  </si>
  <si>
    <t>#110</t>
  </si>
  <si>
    <t>Age of Youth</t>
  </si>
  <si>
    <t>Five girls in their twenties come to live together in a house called "Belle Epoque," which means "a beautiful time" in French. Each girl has a particular personality, background, and issues. In addition to the five girls, they believe there is a sixth presence - a ghost living in the house, but each sees the ghost differently. As the girls feel a bond of sympathy and become closer, they also deal with their personal issues as they live out their eventful twenties. The drama follows their struggles and incidents dealing with relationships - within their circles, with dating, and with each other - and a variety of events they are experiencing including credits, part-time jobs, drinking, hopes and dreams.</t>
  </si>
  <si>
    <t xml:space="preserve">Friendship,  Romance,  Life,  Youth </t>
  </si>
  <si>
    <t>Housemates, Female Centered Plot, Sismance, Multiple Mains, College Life, Coming Of Age, Strong Female Lead, Strong Female Characters, Hardworking Female Lead, Multiple Couples</t>
  </si>
  <si>
    <t>Han Ye Ri, Ryu Hwa Young, Park Eun Bin, Han Seung Yeon, Park Hye Soo, Yoon Park</t>
  </si>
  <si>
    <t>#111</t>
  </si>
  <si>
    <t>Just Between Lovers</t>
  </si>
  <si>
    <t xml:space="preserve">A major accident takes the lives of 48 people. The lives of the survivors, those who lost loved ones and those connected to the parties blamed for the tragic event are also marked forever. </t>
  </si>
  <si>
    <t xml:space="preserve">Psychological,  Romance,  Melodrama </t>
  </si>
  <si>
    <t>Trauma, Healing, Survivor Guilt, Hardworking Female Lead, Strong Female Lead, Tearjerker, Hardworking Male Lead, Phobia, Disaster, Poor Male Lead</t>
  </si>
  <si>
    <t>Lee Jun Ho, Won Jin Ah, Lee Ki Woo, Kang Han Na, Kim Hye Joon, Yoon Se Ah</t>
  </si>
  <si>
    <t>#112</t>
  </si>
  <si>
    <t>Save Me</t>
  </si>
  <si>
    <t>Following the failure of her father's business, Sang Mi and her family move to Muji-gun where they have no friends or relatives. There she meets four young men, Han Sang Hwan, Seok Dong Cheol, Woo Jung Hoon, and Choi Man Hee. When Sang Mi and her family face some trouble, Spiritual Father Baek Jung Ki of Goosunwon offers to help them. However, her family is slowly getting sucked into the pseudo-religious cult and the four young men try to save her.</t>
  </si>
  <si>
    <t>Cult, Adapted From A Webtoon, Church, Strong Female Lead, Bromance, School Bullying, Smart Female Lead, Deception, Strong Male Lead, Ex-convict</t>
  </si>
  <si>
    <t>Seo Yea Ji, Ok Taec Yeon, Woo Do Hwan, Jo Sung Ha, Jo Jae Yoon, Park Ji Young</t>
  </si>
  <si>
    <t>#113</t>
  </si>
  <si>
    <t>Bad and Crazy</t>
  </si>
  <si>
    <t>Soo Yeol, the competent â€˜bad boyâ€™ on the police squad, regains his humanity after meeting K, the righteous but â€˜crazyâ€™ guy. Despite having a mere high school diploma, Soo Yeol is an accomplished member of the Anti Corruption Unit. Heâ€™s ambitious, so he chooses pet cases of his superiors and produces their desired outcomes. Often that means turning a blind eye to injustice, especially if it stands in the way of those preferred results. With promotion time looming and without anyoneâ€™s backing, Soo Yeol fears exclusion once again. Congressman Do Yoo Gon had given him some hope of advancement but dashed when the righteous but crazy K entered his life. What can go wrong when the bad boy and the crazy guy join forces?</t>
  </si>
  <si>
    <t>Injustice, Corruption, Investigation, Eccentric Male Lead, Strong Male Lead, Antihero, Strong Female Lead, Slight Romance, Bromance, Suspense</t>
  </si>
  <si>
    <t>Lee Dong Wook, Wi Ha Joon, Han Ji Eun, Cha Hak Yeon, Sung Ji Ru, Cha Shi Won</t>
  </si>
  <si>
    <t>#114</t>
  </si>
  <si>
    <t>A story where ten people get the chance to go back in time by one year, but unexpectedly mysterious situations start to arise when their fates are changed and twisted in the process.</t>
  </si>
  <si>
    <t xml:space="preserve">Thriller,  Mystery,  Drama,  Fantasy </t>
  </si>
  <si>
    <t>Strong Female Lead, Time Travel, Nice Male Lead, Suspense, Murder, Detective, Fate, Supernatural, Accident, Webtoon Writer</t>
  </si>
  <si>
    <t>Lee Joon Hyuk, Nam Ji Hyun, Kim Jee Soo, Lee Sung Wook, Yoon Joo Sang, Ahn Seung Gyun</t>
  </si>
  <si>
    <t>#115</t>
  </si>
  <si>
    <t>The Master's Sun</t>
  </si>
  <si>
    <t>Joo Joong Won is the stingy and greedy CEO of Kingdom, a conglomerate that includes a major department store and hotel. He meets the gloomy Tae Gong Shil, who started seeing ghosts after an accident. Their lives take a new turn as they work together to deal with the terror and sadness brought about by the spirits, while delving into a kidnapping incident in Joong Won's past. And unknowingly, they fell in love with each other. Edit Translation  English FranÃ§ais EspaÃ±ol PortuguÃªs</t>
  </si>
  <si>
    <t xml:space="preserve">Horror,  Comedy,  Romance,  Supernatural </t>
  </si>
  <si>
    <t>Ghost, Eccentric Female Lead, Rich Male Lead, Clingy Female Lead, Successful Male Lead, Obsession, Tragic Past, Trauma, Secondary Couple, Eccentric Male Lead</t>
  </si>
  <si>
    <t>Gong Hyo Jin, So Ji Sub, Seo In Guk, Kim Yoo Ri, Choi Jung Woo, Kim  Mi Kyung</t>
  </si>
  <si>
    <t>#116</t>
  </si>
  <si>
    <t>Avengers Social Club</t>
  </si>
  <si>
    <t>Features three women from different walks of life coming together for revenge: a middle-aged fish store owner who envisioned a better life for herself, a housewife, and an heiress who was raised like a delicate greenhouse flower. Theyâ€™re an unlikely trio who would never otherwise meet, but they join forces to carry out their individual revenge. Although they start out as co-conspirators, along the way theyâ€™ll build a strong friendship.</t>
  </si>
  <si>
    <t xml:space="preserve">Friendship,  Comedy,  Life,  Drama </t>
  </si>
  <si>
    <t>Revenge, Sismance, Female Centered Plot, Strong Female Lead, Strong Female Characters, Healing, Smart Male Lead, Mother-Son Relationship, Mother-Daughter Relationship, Tragic Past</t>
  </si>
  <si>
    <t>Lee Yo Won, Ra Mi Ran, Myung Se Bin, Lee Jun Young, Choi Byung Mo, Jang Yong</t>
  </si>
  <si>
    <t>#117</t>
  </si>
  <si>
    <t>Rebel</t>
  </si>
  <si>
    <t>8.5</t>
  </si>
  <si>
    <t>â€œThe culprit who is posing as a royal official is not stealing wealth. He is stealing the hearts and minds of your people, Your Majesty.â€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</si>
  <si>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Action,  Thriller,  Historical,  Romance </t>
  </si>
  <si>
    <t>Rebellion, Joseon Dynasty, Strong Male Lead, Smart Male Lead, Corruption, Slave, Discrimination, Bromance, Superhuman Strength, Revenge</t>
  </si>
  <si>
    <t>Yoon Kyun Sang, Chae Soo Bin, Kim Ji Suk, Lee Ha Nee, Kim Sang Joong, Shim Hee Sub</t>
  </si>
  <si>
    <t>#118</t>
  </si>
  <si>
    <t>Chief Detective 1958</t>
  </si>
  <si>
    <t>In 2023, 92-year-old Park Yeong Han, once a revered detective known as the "Columbo of Korea," visits Jongnam Police Station to check on his grandson, Park Jun Seo, a rookie cop. The story shifts to Park Yeong Han's early years in 1958, where he earned fame as a crimefighter in Gyeonggi Province. After transferring to Seoul's Jongnam station, he confronts a powerful gang controlled by political connections and corruption. Undeterred, he uses his wit and experience to uncover smuggling operations and confront the systemic issues plaguing the police force.</t>
  </si>
  <si>
    <t>Action, Thriller, Historical, Comedy</t>
  </si>
  <si>
    <t>Police Department Setting, Fight For Justice, Righteous Male Lead, Police Corruption, Historical Fiction, Teamwork, Bromance, Detective Fiction, Detective Male Lead, Confident Male Lead</t>
  </si>
  <si>
    <t>Lee Je Hoon, Lee Dong Hwi, Choi Woo Sung, Yoon Hyun Soo, Seo Eun Soo</t>
  </si>
  <si>
    <t>#119</t>
  </si>
  <si>
    <t>Nobody Knows</t>
  </si>
  <si>
    <t>Detective Young Jin, from the regional investigation unit, has only one thing on her mind: to catch the 'Stigmata' serial killer that murdered her friend 19 years ago. She carries guilt and trauma over the event. She has no friends and lives alone. Her downstairs neighborâ€™s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Hoâ€™s homeroom teacher, Sun Woo, the both begin to uncover that Eun Hoâ€™s injuries were no accident. Edit Translation  English Ð ÑƒÑÑÐºÐ¸Ð¹ Italiano EspaÃ±ol</t>
  </si>
  <si>
    <t xml:space="preserve">Thriller,  Mystery,  Drama,  Melodrama </t>
  </si>
  <si>
    <t>Strong Female Lead, Smart Female Lead, Unusual Friendship, Murder, Death, Strong Friendship, Guilt, Calm Female Lead, Serial Killer, Trauma</t>
  </si>
  <si>
    <t>Kim Seo Hyung, Ryu Deok Hwan, Park Hoon, Ahn Ji Ho, Min Jin Woong, Kang Ye Won</t>
  </si>
  <si>
    <t>#120</t>
  </si>
  <si>
    <t>Bad Guys</t>
  </si>
  <si>
    <t xml:space="preserve">To combat rising violent crimes, the Police Chief asks Detective Oh Goo Tak to form a team consisting of criminals. </t>
  </si>
  <si>
    <t xml:space="preserve">Action,  Thriller,  Psychological,  Crime </t>
  </si>
  <si>
    <t>Psychopath, Murder, Teamwork, Serial Killer, Strong Male Lead, Gangster, Smart Male Lead, Skilled Killer, Violence, Death</t>
  </si>
  <si>
    <t>Kim Sang Joong, Park Hae Jin, Jo Dong Hyuk, Ma Dong Seok, Kang Ye Won, Kang Shin Il</t>
  </si>
  <si>
    <t>#121</t>
  </si>
  <si>
    <t>Beautiful World</t>
  </si>
  <si>
    <t>This drama is about a boy on the edge of life and death, and his family's quest to find the truth.  Amidst the lies and secrets, mistrust and pain, the family looks for hope in this crazy world.  Mu Jin, is a teacher and a father. His wife, In Ha, runs 'Ho Ho Bakery' and they have a 9th-grade son and an 8th-grade daughter.  For the sake of their kids' education, they move to a different neighborhood. One day, at their new competitive school, Sun Ho gets into an accident, causing him to become brain dead.  The father and mother, filled with great guilt and rage because of the accident, investigate to find out what happened to cause the accident.  Su Ho, Sun Ho's baby sister, also sets out on her own to find out the truth behind her brother's accident.</t>
  </si>
  <si>
    <t xml:space="preserve">Life,  School,  Family,  Melodrama </t>
  </si>
  <si>
    <t>School Bullying, Family Relationship, Coma, Tearjerker, Sibling, Student, Psychopath, High School, Married Couple, Strong Female Lead</t>
  </si>
  <si>
    <t>Park Hee Soon , Choo Ja Hyun, Oh Man Suk, Cho Yeo Jung, Nam  Da Reum , Kim Hwan Hee</t>
  </si>
  <si>
    <t>#122</t>
  </si>
  <si>
    <t>Marry My Husband</t>
  </si>
  <si>
    <t>Kang Ji Wonâ€™s marriage to Park Min Hwan is strained due to his selfishness, unemployment, and a domineering mother. Ji Won is the family's sole breadwinner and does all the household chores. When she is diagnosed with terminal cancer, her world shatters further as she discovers her husbandâ€™s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</si>
  <si>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Comedy, Romance, Drama, Fantasy</t>
  </si>
  <si>
    <t>Time Travel, Infidelity, Revenge, Gaslighting, Betrayal, Time Altering, Betrayed By A Friend, Male Chases Female First, Nice Female Lead, Cancer</t>
  </si>
  <si>
    <t>Park Min Young, Na In Woo, Lee Yi Kyung, Song Ha Yoon</t>
  </si>
  <si>
    <t>#123</t>
  </si>
  <si>
    <t>Arthdal Chronicles Part 1</t>
  </si>
  <si>
    <t>Set in the fictional land of Arthdal during ancient times(bronze age). Eun Seom was born with a fate to bring disaster to Arthdal, which leads him and his mother, who wants to save him, to endure hardships. Finally, they decide to leave and travel together to a better place. Although Eun Seom grows up in the new land, he is seen as an outcast because he is different from the land's natives. Ta Gon is a war hero of Arthdal. He has paved the way for Arthdal to become a prosperous city and nation and he is the strongest warrior in Arthdal. He dreams of becoming the first king of Arthdal.</t>
  </si>
  <si>
    <t>Power Struggle, Multiple Mains, Curse, Hidden Identity, Identical Twins, Strong Female Lead, War, Orphan Male Lead, Slavery, Shamanism</t>
  </si>
  <si>
    <t>Song Joong Ki, Kim Ji Won, Jang Dong Gun, Kim Ok Bin, Kim Eui Sung, Lee Do Kyung</t>
  </si>
  <si>
    <t>#124</t>
  </si>
  <si>
    <t>Kairos</t>
  </si>
  <si>
    <t>Living a precarious life as a part-timer at a convenience store, Ae Ri strives to support her mother who is on a waiting list for a heart transplant. Unfortunately, her motherâ€™s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wifeâ€™s suicide. On the verge of breaking down, he is given an opportunity to restore everything that was lost under one condition, help from a strange woman. To bring his daughter and wife back to life, he makes a phone call as the clock strikes 10:33.</t>
  </si>
  <si>
    <t xml:space="preserve">Action,  Thriller,  Drama,  Sci-Fi </t>
  </si>
  <si>
    <t>Time Altering, Past And Present, Hardworking Male Lead, Smart Male Lead, Family Secret, Rich Male Lead, Betrayal, Gaslighting, Different Timelines, Successful Male Lead</t>
  </si>
  <si>
    <t>Shin Sung Rok, Lee Se Young, Ahn Bo Hyun, Nam Gyu Ri, Kang Seung Yoon, Jo Dong In</t>
  </si>
  <si>
    <t>#125</t>
  </si>
  <si>
    <t>I Hear Your Voice</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</si>
  <si>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peopleâ€™s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</si>
  <si>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Mystery,  Law,  Romance,  Supernatural </t>
  </si>
  <si>
    <t>Special Power, Revenge, Smart Female Lead, Trauma, Strong Female Lead, Older Woman/Younger Man, Male Chases Female First, Age Gap, Mind Reading, Cohabitation</t>
  </si>
  <si>
    <t>Lee Jong Suk, Lee Bo Young, Yoon Sang Hyun, Lee Da Hee, Jung Woong In, Yoon Joo Sang</t>
  </si>
  <si>
    <t>#126</t>
  </si>
  <si>
    <t>What's Wrong with Secretary Kim</t>
  </si>
  <si>
    <t>The series revolves around the narcissistic Lee Young Joon, the vice president of a company run by his family. He is very self-absorbed and thinks highly of himself, so much that he barely acknowledges the people around him. Lee Young Joon has a capable and patient secretary Kim Mi So who has remained by his side and worked diligently for 9 years without any romantic involvement. However, Mi So now wants to set her life &amp; focus on herself so when she decides to resign from her job, hilarious misunderstandings ensue. After 9 years of their strictly-workplace relationship, can it now develop in something more?</t>
  </si>
  <si>
    <t xml:space="preserve">Friendship,  Business,  Comedy,  Romance </t>
  </si>
  <si>
    <t>Adapted From A Webtoon, Steamy Kiss, Male Chases Female First, Boss-Employee Relationship, Office Romance, Rich Male Lead, Calm Female Lead, Trauma, Smart Female Lead, Secretary</t>
  </si>
  <si>
    <t>Park Min Young, Park Seo Joon, Lee Tae Hwan, Pyo Ye Jin, Kim Hye Ok, Kim Byung Ok</t>
  </si>
  <si>
    <t>#127</t>
  </si>
  <si>
    <t>Vagabond</t>
  </si>
  <si>
    <t xml:space="preserve">Cha Dal Gun becomes an awakened tiger in the face of his nephewâ€™s death in a mysterious plane crash. As an orphan himself, he had raised his nephew singlehandedly in place of his brother who had passed on. Triggered by the large-scale cover-up of the incident, he sets off on a journey to discover the truth. </t>
  </si>
  <si>
    <t xml:space="preserve">Action,  Thriller,  Mystery,  Crime </t>
  </si>
  <si>
    <t>Plane Crash, Revenge, National Intelligence Service, Corruption, Agent, Death Of A Child, Death, Spy, Strong Male Lead, Terrorist</t>
  </si>
  <si>
    <t>Lee Seung Gi, Bae Suzy, Shin Sung Rok, Baek  Yoon Shik, Moon Sung Geun, Kim Min Jong</t>
  </si>
  <si>
    <t>#128</t>
  </si>
  <si>
    <t>One Ordinary Day</t>
  </si>
  <si>
    <t>A drama that explores the criminal justice system from an extremely popular perspective through the fierce story of two men surrounding the murder of a woman. Hyun Soo, an ordinary college student, suddenly becomes the primary suspect in a murder case. Shin Joong Han is the only lawyer willing to help Kim Hyun Soo. Having just barely passed law school, Shin Joong Han's involvement in Kim Hyun Soo's case eventually takes his unremarkable life to new heights.</t>
  </si>
  <si>
    <t>Thriller, Mystery, Law, Crime</t>
  </si>
  <si>
    <t>Murder, Investigation, Brief Nudity, Sexual Content, Death, Student, Lawyer Male Lead, Drug Usage, Trial, Violence</t>
  </si>
  <si>
    <t>Kim Soo Hyun, Cha Seung Won, Lee Seol, Kim Shin Rok, Kim Hong Pa, Kim Sung Gyu</t>
  </si>
  <si>
    <t>#129</t>
  </si>
  <si>
    <t>Reply 1997</t>
  </si>
  <si>
    <t>Set in the 1990's, the drama centers around a female high school student Shi Won, who idolizes boyband H.O.T and her 5 high school friends in Busan. As the timeline moves back and forth between their past as 18-year-old high schoolers in 1997 and their present as 33-year-olds at their high school reunion dinner in 2012, where one couple will announce that they're getting married.</t>
  </si>
  <si>
    <t xml:space="preserve">Comedy,  Romance,  Life,  Family </t>
  </si>
  <si>
    <t>Childhood Friends, High School, 1990s, Strong Friendship, First Love, Best Friends, Friends To Lovers, Bromance, Love Square, Unrequited Love</t>
  </si>
  <si>
    <t>Jung Eun Ji, Seo In Guk, Hoya, Shin So Yool, Eun Ji Won, Lee Si Eon</t>
  </si>
  <si>
    <t>#130</t>
  </si>
  <si>
    <t>Doctor John</t>
  </si>
  <si>
    <t xml:space="preserve">â€œDoctor Johnâ€ is a medical drama about doctors specializing in pain management. In a refreshing take on the genre, â€œDoctor Johnâ€ will portray the doctorsâ€™ search for the cause of their patientsâ€™ mysterious pain as a thrilling chase, almost like a detective hunting down the perpetrator behind an unsolved crime. </t>
  </si>
  <si>
    <t xml:space="preserve">Mystery,  Romance,  Life,  Medical </t>
  </si>
  <si>
    <t>Smart Male Lead, Incurable Disease, Eccentric Male Lead, Euthanasia, Hardworking Male Lead, PTSD, Ex-convict, Secret, Trauma, Tragic Past</t>
  </si>
  <si>
    <t>Ji Sung, Lee Se Young, Lee Kyu Hyung, Hwang Hee, Jung Min Ah, Kwon Hwa Woon</t>
  </si>
  <si>
    <t>#131</t>
  </si>
  <si>
    <t>Hi Bye, Mama!</t>
  </si>
  <si>
    <t>It's the story of a mother who died and begins a 49-day long project of reincarnation, and a husband who has barely begun to live a new life after overcoming the pain of losing his wife. Jo Kang Hwa is a skilled thoracic surgeon. After losing his wife four years ago, he had been working as a single father until he got married again two years ago. While he seems like a caring person, he does not offer a hand nor intervene when needed.</t>
  </si>
  <si>
    <t>Romance, Drama, Melodrama, Supernatural</t>
  </si>
  <si>
    <t>Mother-Daughter Relationship, Nice Female Lead, Death, Reincarnation, Sismance, Ghost, Heartbreak, Remarriage, Father-Daughter Relationship, Nice Stepmother</t>
  </si>
  <si>
    <t>Kim Tae Hee, Lee Kyu Hyung, Go Bo Gyeol, Seo Woo Jin, Shin Dong Mi, Oh Eui Shik</t>
  </si>
  <si>
    <t>#132</t>
  </si>
  <si>
    <t>Voice</t>
  </si>
  <si>
    <t>Popular detective Moo Jin Hyuk who is filled with guilt for his wifeâ€™s death, works with professional voice profiler Kang Kwon Joo, whose father is killed, to solve a different crime, chasing for the serial killer responsible for the deaths of their family members.</t>
  </si>
  <si>
    <t>Thriller, Mystery, Psychological</t>
  </si>
  <si>
    <t>Strong Female Lead, Murder, Aggressive Male Lead, Special Power, Mad Dog, Death, Investigation, Suspense, Policewoman, Character Development</t>
  </si>
  <si>
    <t>Jang Hyuk, Lee  Ha Na, Baek Sung Hyun, Ye Sung, Son Eun Seo, Kim Jae Wook</t>
  </si>
  <si>
    <t>#133</t>
  </si>
  <si>
    <t>Fight For My Way</t>
  </si>
  <si>
    <t>Can you still go after your dreams without the right background?</t>
  </si>
  <si>
    <t xml:space="preserve">Business,  Comedy,  Romance,  Sports </t>
  </si>
  <si>
    <t>Childhood Friends, Friends To Lovers, Strong Male Lead, Strong Female Lead, Neighbors, Strong Friendship, Personal Growth, Character Development, Secondary Couple, Ex-girlfriend Comes Back</t>
  </si>
  <si>
    <t>Park Seo Joon, Kim Ji Won, Ahn Jae Hong, Song  Ha Yoon, Kim Sung Oh, Jin Hee Kyung</t>
  </si>
  <si>
    <t>#134</t>
  </si>
  <si>
    <t>Squid Game</t>
  </si>
  <si>
    <t>After a failed business venture, the debt-ridden chauffeur Seong Gi Hun lives his life gambling away the money he mooches off his elderly mother while failing to provide for her and his estranged daughter. When his life finally hits rock bottom, he receives an irresistible offer promising him a â‚©45.6 billion prize in exchange for winning traditional Korean children's games against 455 other players, among them his childhood friend Cho Sang Woo. Commencing the games, the participants soon learn of the deadly consequences that come with losing.</t>
  </si>
  <si>
    <t>Death, Death Game, Poor Male Lead, Extreme Violence, Debt, Gore, Competition, Game Show, Survival, Murder</t>
  </si>
  <si>
    <t>Lee Jung Jae, Park Hae Soo, Jung Ho Yeon, Wi Ha Joon, Anupam Tripathi, Oh Young Soo</t>
  </si>
  <si>
    <t>#135</t>
  </si>
  <si>
    <t>W</t>
  </si>
  <si>
    <t>Oh Sung Moo, the father of cardiothoracic surgeon Oh Yeon Joo, mysteriously goes missing while writing the last chapter of his webtoon "W". Yeon Joo goes to his office looking, but a hand from his monitor suddenly pulls her in, and she finds herself on the rooftop of a building, next to a bloodied man. She manages to save the person, only to realize that he is Kang Cheol, the main character of her father's webtoon. Yeon Joo later discovers she can only enter and leave the webtoon depending on Kang Cheol's feelings.</t>
  </si>
  <si>
    <t>Thriller, Comedy, Romance, Fantasy</t>
  </si>
  <si>
    <t>Parallel Dimension, Gun Violence, Crossworlds Traveler, Steamy Kiss, Rich Male Lead, Lovers Separated, Attempted Murder, Murder, Fight, Revenge</t>
  </si>
  <si>
    <t>Han Hyo Joo, Lee Jong Suk, Kim Eui Sung, Lee Tae Hwan, Jung Eugene, Lee Si Eon</t>
  </si>
  <si>
    <t>#136</t>
  </si>
  <si>
    <t>Queen Seon Duk</t>
  </si>
  <si>
    <t>The story of a beautiful queen, who has to give up her love to save the people. A biopic of Queen Seondeok, who was born a princess and later became the ruler of Silla, leaving behind many brilliant achievements.</t>
  </si>
  <si>
    <t>Historical, Romance, Drama, Political</t>
  </si>
  <si>
    <t>Power Struggle, Royalty, Smart Female Lead, Female Antagonist, Hwarang, Military, Cross-Dressing, Silla Dynasty, Sword-fight, Strong Female Lead</t>
  </si>
  <si>
    <t>Lee Yo Won, Go Hyun Jung, Park Ye Jin, Yoo Seung Ho, Kim Nam Gil, Uhm Tae Woong</t>
  </si>
  <si>
    <t>#137</t>
  </si>
  <si>
    <t>Mad for Each Other</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</si>
  <si>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â€œcrazyâ€ person who canâ€™t hold in his anger about anything. Lee Min Kyung is a woman who is caught up in her own delusions and compulsions. She had lived an ordinary life as a pretty woman with a respectable job until â€œthat incidentâ€ that caused everything in her life to break down. As a result, she was unable to trust anyone and is caught in a prison of her own making. Her delusions also have the unfortunate side effect of making everyone else around her angry.</t>
  </si>
  <si>
    <t>Trauma, Enemies To Lovers, Anger Management Issues, Healing, Character Development, Unfortunate Male Lead, Dating Violence, Stalking, Cross-Dressing, Dog</t>
  </si>
  <si>
    <t>Oh Yeon Seo, Jung Woo, Lee Su Hyun, Ahn Woo Yeon, Kim Nam Hee, Baek Ji Won</t>
  </si>
  <si>
    <t>#138</t>
  </si>
  <si>
    <t>Dali and the Cocky Prince</t>
  </si>
  <si>
    <t>As a young boy, Moo Hak grew up in the market as a peddler. Although he is ignorant, he is strong-willed and knows how to make money. He is now the managing director of Dondon F and B, a global restaurant chain that his family started as a small gamjatang diner. However, he isn't dignified and only cares about money. He meets Da Li, the only daughter and child of an upper-class family who runs an art gallery. She has a profound deep knowledge of things. She gets faced with bankruptcy due to her father's sudden death and begins a hard life. Moo Hak and Da Li start a relationship as a creditor and debtor over the art gallery. Will these two polar opposites understand each other and fall in love?</t>
  </si>
  <si>
    <t xml:space="preserve">Comedy,  Romance,  Drama </t>
  </si>
  <si>
    <t>Smart Female Lead, Rich Female Lead, Art Gallery, Rich Male Lead, Multilingual, Bankruptcy, Art, Eccentric Male Lead, Healthy Mainsâ€™ Relationship, Male Chases Female First</t>
  </si>
  <si>
    <t>Park Gyu Young, Kim Min Jae, Kwon Yool, Hwang Hee, Yeonwoo, Park Sang Myun</t>
  </si>
  <si>
    <t>#139</t>
  </si>
  <si>
    <t>Thirty But Seventeen</t>
  </si>
  <si>
    <t>Woo Seo Ri, a violin prodigy at 17 who was about to study in Germany, got into a bus accident and fell into a coma waking up 13 years later. Mentally she is still only 17, while physically she is now 30. Due to a trauma he experienced 13 years before, Gong Woo Jin does not want to have a relationship with others. This series is about a man and a woman whose lives in their own ways essentially stopped when they were 17. Together, they use all their might to try and open the door to the happiness that they once thought had been closed to them.</t>
  </si>
  <si>
    <t>Music, Mystery, Comedy, Romance</t>
  </si>
  <si>
    <t>Cohabitation, Healing, First Love, Coma, Tragic Past, Naive Female Lead, Nice Female Lead, Trauma, Eccentric Male Lead, Nice Male Lead</t>
  </si>
  <si>
    <t>Shin Hye Sun, Yang Se Jong, Ahn Hyo Seop, Ye Ji Won, Wang Ji Won, Yoon Sun Woo</t>
  </si>
  <si>
    <t>#140</t>
  </si>
  <si>
    <t>When the Camellia Blooms</t>
  </si>
  <si>
    <t>Dong Baek is a single mother living in the small town of Ongsan. She runs the bar-restaurant Camellia, while also taking care of her son Pil Gu. The people of Ongsan frequently gossip about Dong Baek. She grew up as an orphan, is a single mother and runs a bar where many of the men in Ongsan frequent. Regardless of what the locals may whisper about Dong Baek, local police officer Hwang Yong Shik is deeply in love with her. Meanwhile, Dong Baek's ex-boyfriend Kang Jong Ryeol suddenly reappears in her life. He is a famous baseball player, that hid their relationship when they dated. While Dong Baek tries to find happiness, something truly sinister lurks in the background. A serial killer roams Ongsan and Dong Baek may be a target.</t>
  </si>
  <si>
    <t xml:space="preserve">Thriller,  Comedy,  Romance,  Drama,  Family </t>
  </si>
  <si>
    <t>Single Mother, Mystery, Motherhood, Serial Killer, Mother-Son Relationship, Hardworking Female Lead, Dorky Male Lead, Male Chases Female First, Nice Male Lead, Independent Female Lead</t>
  </si>
  <si>
    <t>Gong Hyo Jin, Kang Ha Neul, Kim Ji Suk, Son Dam Bi, Oh Jung Se, Yeom Hye Ran</t>
  </si>
  <si>
    <t>#141</t>
  </si>
  <si>
    <t>Be Melodramatic</t>
  </si>
  <si>
    <t>Im Jin Joo, Lee Eun Jung, and Hwang Han Joo are best friends who are  30-years-old. Hwang Han Joo is the head of a marketing team for a drama production company. She is a single mother who struggles to balance her work and personal life as she is raising a kid. Im Jin Joo is a drama writer with a lot of emotional ups and downs. Her personality is unique, talking to a luxurious purse at times. Even though she is a drama writer, she tries to write her scripts in a literary style. Lee Eun Jung is a documentary director. She runs her own  production company, although she's the only employee. One of her documentaries  surprisingly becomes popular overnight.</t>
  </si>
  <si>
    <t>Comedy, Romance, Life, Melodrama</t>
  </si>
  <si>
    <t>Multiple Mains, Sismance, Strong Female Lead, Multiple Couples, Independent Female Lead, Eccentric Female Lead, Badass Female Lead, Entertainment Industry, Smart Female Lead, Boss-Employee Relationship</t>
  </si>
  <si>
    <t>Chun Woo Hee, Jeon Yeo Been, Han Ji Eun, Ahn Jae Hong, Gong Myung, Lee Joo Bin</t>
  </si>
  <si>
    <t>#142</t>
  </si>
  <si>
    <t>Good Partner</t>
  </si>
  <si>
    <t>Cha Eun Gyeong is a 17-year veteran star lawyer at Law Firm Daejung. Her specialty is in the field of divorce law. While working on divorce cases, she soon faces a crisis with her own potential divorce. At her law firm, she works alongside rookie lawyer Han Yu Ri. They are entirely different from each other. Yu Ri doesn't tolerate injustice, while Eun Gyeong believes that the law firm's and her client's interests come first, no matter what. Due to their differences in values and experience, they disagree on everything. While working through their differences, they both experience a big change in their lives. They work with lawyers Jung U Jin and lawyer Jeon Eun Ho at Law Firm Daejung.</t>
  </si>
  <si>
    <t>Comedy, Law, Life, Drama</t>
  </si>
  <si>
    <t xml:space="preserve">Workplace Setting, Lawyer Female Lead, Emotionally Strong Female Lead, Co-workers' Relationship, Senior-Junior Relationship, Married Supporting Character, Married Female Lead, Secretary Supporting Character, Team Leader Male Lead, Attorney Female Lead </t>
  </si>
  <si>
    <t>Jang Na Ra, Nam Ji Hyun, Kim Joon Han, P.O</t>
  </si>
  <si>
    <t>#143</t>
  </si>
  <si>
    <t>Itaewon Class</t>
  </si>
  <si>
    <t>Park Saeroyi's life has been turned upside down after he gets expelled from school for punching a bully and his father is killed in an accident. Following his father's steps, he opens a pub named "DanBam" in Itaewon and, along with his manager and staff, strive towards success and reaching greater heights.</t>
  </si>
  <si>
    <t>Revenge, Time Skip, Smart Female Lead, Female Chases Male First, Badass Female Lead, Strong Female Lead, Boss-Employee Relationship, Tragic Past, Nice Male Lead, Adapted From A Webtoon</t>
  </si>
  <si>
    <t>Park Seo Joon, Kim Da Mi, Kwon Na Ra, Yoo Jae Myung, Ahn Bo Hyun, Kim Dong Hee</t>
  </si>
  <si>
    <t>#144</t>
  </si>
  <si>
    <t>Snowdrop</t>
  </si>
  <si>
    <t>In 1987, a bloody man jumps into a womenâ€™s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</si>
  <si>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Romance, Drama, Melodrama, Political</t>
  </si>
  <si>
    <t>1980s, Political Intrigue, Love At First Sight, Dormitory, North And South Korea, Conspiracy, University, Suspense, Student, Impulsive Female Lead</t>
  </si>
  <si>
    <t>Jung Hae In, Kim Ji Soo, Jang Seung Jo, Yoo In Na, Yoon Se Ah, Kim Hye Yoon</t>
  </si>
  <si>
    <t>#145</t>
  </si>
  <si>
    <t>Circle</t>
  </si>
  <si>
    <t>Taking place in both the present year 2017 and in the year 2037, when people believe that their future depends on humans controlling and regulating their emotions, this drama is a sci-fi mystery. When alien visitors arrive on Earth, humans learn new skills from them and take advantage of them</t>
  </si>
  <si>
    <t>#146</t>
  </si>
  <si>
    <t>Because This Is My First Life</t>
  </si>
  <si>
    <t>A house-poor man and homeless woman become housemates in a drama that examines the institution of marriage and the problems that young people face today.</t>
  </si>
  <si>
    <t xml:space="preserve">Comedy,  Romance,  Life,  Drama </t>
  </si>
  <si>
    <t>Contract Relationship, Marriage Of Convenience, Housemates, Eccentric Male Lead, Multiple Couples, Cohabitation, Sismance, Nerdy Male Lead, Writer, Multiple Mains</t>
  </si>
  <si>
    <t>Jung So Min, Lee Min Ki, Esom, Park Byung Eun, Kim Ga Eun, Kim Min Seok</t>
  </si>
  <si>
    <t>#147</t>
  </si>
  <si>
    <t>The Princess's Man</t>
  </si>
  <si>
    <t>Princess Se Ryung is the headstrong and forward-thinking daughter of  Grand Prince Su Yang, who is determined to be King. She falls in love with the son of his mortal enemy, and their romance gets caught in the crossfire of her father's quest for the throne.</t>
  </si>
  <si>
    <t>Action, Historical, Romance, Political</t>
  </si>
  <si>
    <t>Forbidden Love, Strong Male Lead, Power Struggle, Strong Female Lead, Family Pressure, Joseon Dynasty, Revenge, Death, Father-Daughter Relationship, Princess Female Lead</t>
  </si>
  <si>
    <t>Park Shi Hoo, Moon Chae Won, Kim Yeong Cheol, Song Jong Ho, Hong Soo Hyun, Lee Min Woo</t>
  </si>
  <si>
    <t>#148</t>
  </si>
  <si>
    <t>Blind</t>
  </si>
  <si>
    <t>Ryu Sung Joon, Ryu Sung Hoon and Jo Eun Ki become involved in a serial murder case involving jury members as the victims. These three individuals try to uncover the truth behind the deaths. Ryu Sung Joon works as an enthusiastic detective. He is always determined to catch the bad guys. Due to his determination, his arrest rate is always among the top for detectives. His older brother is Ryu Sung Hoon and he works as a judge. Ryu Sung Hoon is a perfectionist and smart enough to have passed the bar exam with the top score and graduated at the top of his class at the Judicial Research and Training Institute. He is an upright man who does his best to impart a fair judgement. Jo Eun Ki  works as a social worker. She has a warm heart and is full of justice. She always puts people first and tries to be a reliable guardian to children who come from poor backgrounds.</t>
  </si>
  <si>
    <t>Judge Male Lead, Detective Male Lead, Perfectionist Male Lead, Investigation, Suspense, Juror Supporting Character, IT Engineer Supporting Character, Site Manager Supporting Character, Shaman Supporting Character, Production Director (PD) Supporting Character</t>
  </si>
  <si>
    <t>Ok Taec Yeon, Ha Seok Jin, Jung Eun Ji, Jung In Ki, Jung Eui Wook, Park Ji Bin</t>
  </si>
  <si>
    <t>#149</t>
  </si>
  <si>
    <t>Two Weeks</t>
  </si>
  <si>
    <t>Jang Tae San works at a pawn shop by day and prostitutes himself to older women at night. One day, he's contacted by his ex-girlfriend that he is the father of her daughter with leukemia, and he's the last chance to donate bone marrow and save their daughter's life. That same day, he finds himself framed for murder but manages to escape and runs away. With nobody to trust, Jang Tae San has two weeks to try to prove his innocence and survive until his daughter's surgery. Park Jae Kyung is a prosecutor searching for evidence to take down Moon Il Suk, the man who stabbed her father, and Jo Seo Hee, a beloved senator who is actually working with Moon Il Suk. Together with Detective Im Seung Woo,  she works to uncover the truth behind the murder and its connections to Moon Il Suk and Jo Seo Hee.</t>
  </si>
  <si>
    <t>Child Female Lead, Prosecutor Female Lead, Detective Male Lead, Single Father Male Lead, Leukemia, Wrongfully Accused, Slight Romance, Strong Male Lead, Conspiracy, Father-Daughter Relationship</t>
  </si>
  <si>
    <t>Lee Joon Gi, Park Ha Sun, Ryu Soo Young, Kim So Yeon, Lee Chae Mi, Jo  Min Ki</t>
  </si>
  <si>
    <t>#150</t>
  </si>
  <si>
    <t>Work Later, Drink Now</t>
  </si>
  <si>
    <t>Ahn So Hee, Han Ji Yeon, and Kang Ji Gu enjoy hanging out after work and drinking together. The three women are single and in their 30's. As for their jobs, So Hee works as a broadcasting writer, Ji Yeon as a yoga instructor, and Ji Gu as a YouTuber. Meanwhile, Kang Buk Gu works as a PD of the TV variety show. He hangs out with these three women.</t>
  </si>
  <si>
    <t>Comedy, Life, Drama</t>
  </si>
  <si>
    <t>Sismance, Adapted From A Webtoon, Drinking, Friendship, Confident Female Lead, Suicide, Death, Workplace Abuse, Instructor Female Lead, Screenwriter Female Lead</t>
  </si>
  <si>
    <t>Lee Sun Bin, Han Sun Hwa, Jung Eun Ji, Choi Si Won, Kim Jung Min, Yoo Ji Yeon</t>
  </si>
  <si>
    <t>#151</t>
  </si>
  <si>
    <t>Dong Yi</t>
  </si>
  <si>
    <t>"Dong Yi" is a historical drama based on the life of Dong Yi later known as Choi Suk Bin. She worked in the royal palace as a lowly water maid. King Sok Jong then selected Choi as his concubine. Choi would then give birth to Yeong Jo, the second son of King Sok Jong and the future king of Joseon. After the birth of Yeong Jo, Dong Yi would become Suk Bin.</t>
  </si>
  <si>
    <t>Adventure, Historical, Mystery, Romance</t>
  </si>
  <si>
    <t>Harem, Joseon Dynasty, Investigation, King Male Lead, Skilled Fighter, Hidden Past, Noble Sacrifice, Skilled Killer, Orphan Female Lead, Royalty</t>
  </si>
  <si>
    <t>Han Hyo Joo, Ji Jin Hee, Lee So Yeon, Bae Soo Bin, Park Ha Sun, Jung Jin Young</t>
  </si>
  <si>
    <t>#152</t>
  </si>
  <si>
    <t>Gaus Electronics</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</si>
  <si>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coworkersâ€™ moods, causing trouble as a result! There is also Cha Na Rae, the hot-tempered assistant manager! Also among their number is Baek Ma Tan, the heir of the owners of Gaus Electronicsâ€™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</si>
  <si>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Business, Comedy, Romance, Life</t>
  </si>
  <si>
    <t>Office Setting, Hot-tempered Female Lead, Weak Male Lead, Workplace Setting, Workplace Politics, Office Worker Female Lead, Office Worker Male Lead, Heir Male Lead, Secretary Supporting Character, Age Gap [Real Life]</t>
  </si>
  <si>
    <t>Kwak Dong Yeon, Go Sung Hee, Bae Hyun Sung, Kang  Min Ah, Baek Hyun Jin, Heo Jung Do</t>
  </si>
  <si>
    <t>#153</t>
  </si>
  <si>
    <t>Angel's Last Mission: Love</t>
  </si>
  <si>
    <t>Lee Yeon Seo, is a cynical and arrogant ballerina. She is the prima ballerina, but after an accident she has to give up her dream. After her parents' sudden death, she doesnâ€™t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</si>
  <si>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Nice Male Lead, Warm Man/Cold Woman, Orphan Female Lead, Strong Female Lead, Opposites Attract, Ballet, Rich Female Lead, Tearjerker, Male Chases Female First, Cohabitation</t>
  </si>
  <si>
    <t>Kim Myung Soo, Shin Hye Sun, Lee Dong Gun, Kim  Bo Mi, Woo Hee Jin, Gil Eun Hye</t>
  </si>
  <si>
    <t>#154</t>
  </si>
  <si>
    <t>The World of the Married</t>
  </si>
  <si>
    <t>Everything seems perfect in the life of the successful family doctor and associate director, Ji Sun Woo. She lives happily in Gosan with her handsome husband Lee Tae Oh, whom she financially helped establish an entertainment company, and their teenage son, Joon Young. However, the perfect image of a happy, loving family life shatters when she discovers that her husband is having an affair, and even their mutual friends are helping him conceal it. Devastated by the betrayal, she sets on a path of seeking revenge and recollecting her broken self.</t>
  </si>
  <si>
    <t>Thriller, Romance, Drama, Melodrama</t>
  </si>
  <si>
    <t>Extramarital Affair, Revenge, Strong Female Lead, Lying, Sexual Content, Successful Female Lead, Friends To Enemies, Pregnancy, Psychological, Suspense</t>
  </si>
  <si>
    <t>Kim Hee Ae, Park Hae Joon, Han So Hee, Park Sun Young, Kim Young Min, Chae Gook Hee</t>
  </si>
  <si>
    <t>#155</t>
  </si>
  <si>
    <t xml:space="preserve">Pyramid Game </t>
  </si>
  <si>
    <t xml:space="preserve">Once a month, students at Baekyeon Girls' High School cast their votes in a popularity poll. The result? A brutal ranking system that determines the entire social hierarchy of the school. Seong Su Ji has just transferred and scored a zero. After starting at the bottom and becoming a target of school violence, can Su Ji make her way to the top of the pyramid? Or will she topple the game altogether? </t>
  </si>
  <si>
    <t>Action, Thriller, Psychological, Drama</t>
  </si>
  <si>
    <t xml:space="preserve">School Bullying, Female Centered Plot, Abuse Of Power, Manipulative Female Lead, Rival Groups, Smart Female Lead, High School, Adapted From A Webtoon, Friendship, School Setting </t>
  </si>
  <si>
    <t>Bona,Jang Da A, Ryu Da In, Kang Na Eon</t>
  </si>
  <si>
    <t>#156</t>
  </si>
  <si>
    <t>All of Us Are Dead</t>
  </si>
  <si>
    <t>A high school becomes ground zero for a zombie virus outbreak. Trapped students must fight their way out â€” or turn into one of the rabid infected.</t>
  </si>
  <si>
    <t>Action, Thriller, Horror, Sci-Fi</t>
  </si>
  <si>
    <t>Survival, Zombies, Death, Zombie Apocalypse, Virus, High School, Student, Gore, School, Adapted From A Webtoon</t>
  </si>
  <si>
    <t>Park Ji Hoo, Yoon Chan Young, Jo Yi Hyun, Lomon, Yoo In Soo, Kim Byung Chul</t>
  </si>
  <si>
    <t>#157</t>
  </si>
  <si>
    <t>Extracurricular</t>
  </si>
  <si>
    <t>"Extracurricularâ€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Sooâ€™s crime. Park Joo Hyun will portray Ji Sooâ€™s dangerous partner in crime Gyu Ri, while Nam Yoon Soo will appear as Min Heeâ€™s boyfriend and the schoolâ€™s most popular guy Ki Tae.</t>
  </si>
  <si>
    <t>Psychological, Crime, Youth, Drama</t>
  </si>
  <si>
    <t>Prostitution, Illegal Business, Student, High School, Greed, Sex Trafficking, Smart Male Lead, Rich Female Lead, Violence, Strong Female Lead</t>
  </si>
  <si>
    <t>Kim Dong Hee, Park Ju Hyun, Jung Da Bin, Nam Yoon Su, Choi Min Soo, Park Hyuk Kwon</t>
  </si>
  <si>
    <t>#158</t>
  </si>
  <si>
    <t>Yumi's Cells</t>
  </si>
  <si>
    <t xml:space="preserve">Controlled by a complex network of cells, each and every human on the planet is kept running by an unseen operating system that is, for the most part, completely ignored. Though humans never give much thought to how they manage to function, day in and day out, the cells within the human body are constantly at work, doing their part to keep their human alive and well. Which is why on the outside, Kim Yoo Mi may appear to be just like every other single working woman in the world, but underneath that ordinary exterior lies something truly extraordinary. </t>
  </si>
  <si>
    <t>Career Woman, Slice Of Life, Friendship, Mixed Live Action-Animation, Office Worker, Workplace, Adapted From A Webtoon, Honest Male Lead, Game Developer, Personal Growth</t>
  </si>
  <si>
    <t>Kim Go Eun, Ahn Bo Hyun, Park Ji Hyun, Lee Yoo Bi, Joo Jong Hyuk, Park Jin Young</t>
  </si>
  <si>
    <t>#159</t>
  </si>
  <si>
    <t>Lost</t>
  </si>
  <si>
    <t>8.4</t>
  </si>
  <si>
    <t>At forty years old, Lee Boo Jeong has lost her way. She feels like she has reached the end of her potential and achieved absolutely nothing. Lee Kang Jae is twenty-seven, a man at the end of his youth, and though "afraid of nothing," feels afraid his life will never amount to anything. "Lost" tells the story of ordinary people walking towards the light who suddenly realize that 'nothing has happened' in the middle of the downhill road of life. It depicts the most ordinary daily life standing on the edge of darkness rather than light, a life where one cannot easily choose.</t>
  </si>
  <si>
    <t>Life, Drama, Melodrama</t>
  </si>
  <si>
    <t>Slow Burn Story, Depression, Philosophical, Father-Daughter Relationship, Friendship, Social Realism, Miscarriage, Older Woman/Younger Man, Hardworking Female Lead, Healing</t>
  </si>
  <si>
    <t>Jeon Do Yeon, Ryu Joon Yeol, Park Byung Eun, Kim Hyo Jin, Park Ji Young, Park In Hwan</t>
  </si>
  <si>
    <t>#160</t>
  </si>
  <si>
    <t>The Atypical Family</t>
  </si>
  <si>
    <t>Bok Gwi Ju has the ability to travel back in time, but only to happy moments from his past. Unable to change anything, he becomes depressed and loses his power. His family also loses their supernatural abilities due to modern struggles like insomnia, bulimia, and smartphone addiction. When Do Da Hae enters their lives, she begins living with them and sparks a change.</t>
  </si>
  <si>
    <t>Supernatural Power, Time Travel, Supernatural, Age Gap [Real Life], Older Man/Younger Woman, Rich Man/Poor Woman, Cunning Female Lead, Single Father Male Lead, Flashback To Past, Family Relationship</t>
  </si>
  <si>
    <t>Jang Ki Yong, Chun Woo Hee</t>
  </si>
  <si>
    <t>#161</t>
  </si>
  <si>
    <t>Queen In Hyun's Man</t>
  </si>
  <si>
    <t>Kim Boong Do is a scholar who had supported the reinstatement of Queen In Hyun when Jang Hee Bin's schemes resulted in her being deposed and replaced as King Suk Jong's queen consort. He travels 300 years into the future of modern Seoul and meets Choi Hee Jin, a no-name actress who is expecting a career renaissance through her role as Queen In Hyun in a TV drama.</t>
  </si>
  <si>
    <t>Historical, Comedy, Romance, Fantasy</t>
  </si>
  <si>
    <t>Time Travel, Smart Male Lead, Joseon Dynasty, Calm Male Lead, Nice Male Lead, Amnesia, Height Difference, Famous Lead/Common Lead, Past And Present, Fate</t>
  </si>
  <si>
    <t>Ji Hyun Woo, Yoo In Na, Kim Jin Woo, Ga Deuk Hee, Seo Woo Jin, Kim Won Hae</t>
  </si>
  <si>
    <t>#162</t>
  </si>
  <si>
    <t>One Dollar Lawyer</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</si>
  <si>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Prosecutorâ€™s Assistant. Confident and self-assured, she is also a lawyer with her grandfather Baek Hyun Mu's renowned Baek Law Firm. Ma Riâ€™s life has been going smoothly, but her life changes when she meets Cheon Ji Hun.</t>
  </si>
  <si>
    <t>Comedy, Law, Drama</t>
  </si>
  <si>
    <t>Lawyer Male Lead, Former Prosecutor Male Lead, Prosecutor Supporting Character, Lawyer Supporting Character, Slight Romance, Smart Female Lead, Rich Female Lead, Smart Male Lead, Poor Male Lead, Investigation</t>
  </si>
  <si>
    <t>Namkoong Min, Kim Ji Eun, Choi Dae Hoon, Lee Deok Hwa, Park Jin Woo, Ha Sung Kwang</t>
  </si>
  <si>
    <t>#163</t>
  </si>
  <si>
    <t>If You Wish Upon Me</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</si>
  <si>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Reeâ€™s life around? Or is it too late to change his destiny?</t>
  </si>
  <si>
    <t>Romance, Life, Drama, Medical</t>
  </si>
  <si>
    <t>Healing, Terminal Illness, Hospice Care, Nurse Female Lead, Tearjerker, Tragic Past, Character Development, Strong Female Lead, Hardship, Dysfunctional Family</t>
  </si>
  <si>
    <t>Ji Chang Wook, Choi Soo Young, Sung Dong Il, Won Ji An, Yang Hee Kyung, Kil Hae Yeon</t>
  </si>
  <si>
    <t>#164</t>
  </si>
  <si>
    <t>I'm Not a Robot</t>
  </si>
  <si>
    <t>Kim Min Kyu is the largest shareholder of a financial company. He suffers from a "human allergy", preventing him from normal interactions with other people. He becomes interested in a robotic project named Aji-3 created by the Santa Maria robotic team. The team is headed by Hong Baek Gyun, inventor of Aji-3 and world-renowned robotics professor. He modeled Aji-3 after his ex-girlfriend, Jo Ji Ah, a struggling inventor that also works as a personal shopper to make ends meet. Just when Kim Min Kyu wants to test the robot, an accident causes the malfunction of the robot's battery. Hong Baek Gyun begs Jo Ji Ah to take the place of Aji-3 and pretend to be the robot so they can get funding from Kim Min Kyu. But, Aji-3 becomes the closest thing that the lonely Min Kyu has to real contact with another person.</t>
  </si>
  <si>
    <t>Comedy, Romance, Drama, Sci-Fi</t>
  </si>
  <si>
    <t>Haphephobia, Hidden Identity, Rich Male Lead, Robot, Eccentric Male Lead, Double Identity, Sismance, Hardworking Female Lead, Healing, Forgiveness</t>
  </si>
  <si>
    <t>Yoo Seung Ho, Chae Soo Bin, Uhm Ki Joon, Park Se Wan, Song Jae Ryong, Go Geon Han</t>
  </si>
  <si>
    <t>#165</t>
  </si>
  <si>
    <t>Memorist</t>
  </si>
  <si>
    <t>Dong Baek has an extraordinary ability. He can peer into the memories of whoever he touches. With his supernatural power, get it done attitude, and eye-pleasing looks, he is fervently revered worldwide as a superstar detective. However, when his punches meet with suspects before words, he can be a bit of a headache to his comrades. Starting from the age of twenty, Han Sun Mi is the youngest to have passed the bar exam, obtain a doctorate in criminal psychology, and become a senior superintendent in the police force. Having solved five cold cases that even a detective with supernatural powers couldn't do, she is a genius profiler. She has a secret that drives her to do what she does. These two highly-skilled professionals meet their matchâ€”a serial killer with abilities that transcend theirs combined. It's going to be a fight worth watching.</t>
  </si>
  <si>
    <t>Adapted From A Webtoon, Smart Female Lead, Eccentric Male Lead, Supernatural Power, Calm Female Lead, Investigation, Cult, Aggressive Male Lead, Violence, Murder</t>
  </si>
  <si>
    <t>Yoo Seung Ho, Lee Se Young, Jo Sung Ha, Ko Chang Seok, Yun Ji On, Jeon Hyo Sung</t>
  </si>
  <si>
    <t>#166</t>
  </si>
  <si>
    <t>Voice 2</t>
  </si>
  <si>
    <t>Listen closely, because skilled voice profiler Kang Kwon Joo is back. Working tirelessly at the Emergency Call Center, she uses her first-rate hearing to save lives and catch culprits. When it comes to responding to emergencies within the vital â€œgolden time,â€ Kang Kwon Joo is simply the best. Do Kang Woo is a mysterious man whoâ€™s able to tap into the mind of a criminal. He also hides a secret pain that he doesnâ€™t share with anyone. When he meets Kang Kwon Joo, they reluctantly form a team. She can hear crime</t>
  </si>
  <si>
    <t>#167</t>
  </si>
  <si>
    <t>Doom at Your Service</t>
  </si>
  <si>
    <t>Tak Dong Kyung has been working hard ever since her parents passed away. Her life seemed more stable after working as a web novel editor for 6 years, but then she gets diagnosed with glioblastoma (brain cancer). She blames her unlucky life and wishes to curse everything to disappear, which unintentionally calls Myeol Mang, Doom himself - neither human nor god - to appear. Myeol Mang says that he can grant Dong Kyung's wishes. As her last hope, she makes a contract with Myeol Mang for a hundred days to live how she wants, risking her everything.</t>
  </si>
  <si>
    <t>Terminal Illness, Illness, Brain Cancer, Hardworking Female Lead, Unlucky Female Lead, Glioblastoma, First Love, Eccentric Male Lead, Brother-Sister Relationship, Fate</t>
  </si>
  <si>
    <t>Park Bo Young, Seo In Guk, Lee Soo Hyuk, Kang Tae Oh, Shin Do Hyun, Dawon</t>
  </si>
  <si>
    <t>#168</t>
  </si>
  <si>
    <t>Duel</t>
  </si>
  <si>
    <t>Jang Deuk Cheon, a hardened detective cop whose daughter is kidnapped, begins a chase against great odds to solve the mystery of his situation and find his child before it is too late. He starts to hunt down the suspect using the one clue he has: Two men with the same face were at the crime scene.</t>
  </si>
  <si>
    <t>Thriller, Mystery, Sci-Fi</t>
  </si>
  <si>
    <t>Amnesia, Human Experimentation, Kidnapping, Tragic Past, Father-Daughter Relationship, Bromance, Investigation, Suspense, Revenge, Murder</t>
  </si>
  <si>
    <t>Jung Jae Young, Kim Jung Eun, Yang Se Jong, Seo Eun Soo, Kim Ki Doo, Yoon Gyung Ho</t>
  </si>
  <si>
    <t>#169</t>
  </si>
  <si>
    <t>Search: WWW</t>
  </si>
  <si>
    <t>This drama is about the conflicts, the wins, and losses one experiences when working. It will follow the story of 21st century women, who chose not to be a wife or a mother and successfully work without discrimination or impediments. Bae Ta Mi works as a director for a big web portal company. She is in her late 30's and is quite competitive. With her competitiveness, Ta Mi enjoys success. The methods she uses to win has her wondering if she is doing the right thing with her life. Has she sacrificed too much of her personal life for success? Park Mo Gun is a man in his 20's and is a gifted composer. He creates music for video games. Mo Gun meets Ta Mi at an arcade. He falls in love with her due to her competitive spirit.</t>
  </si>
  <si>
    <t>Business, Comedy, Romance, Drama</t>
  </si>
  <si>
    <t>Successful Female Lead, Smart Female Lead, Strong Female Lead, Independent Female Lead, Sismance, Social Media, Older Woman/Younger Man, Teamwork, Competition, Data Manipulation</t>
  </si>
  <si>
    <t>Im Soo Jung, Lee Da Hee, Jeon Hye Jin, Jang Ki Yong, Lee Jae Wook, Ji Seung Hyun</t>
  </si>
  <si>
    <t>#170</t>
  </si>
  <si>
    <t>From Now On, Showtime!</t>
  </si>
  <si>
    <t>Cha Cha Woong is a popular if somewhat sardonic stage and TV magician with a taste for the spectacular. His tricks dazzle audiences, but little do most people know â€“ he has a gang of secret helpers! However, these are no ordinary magicianâ€™s assistants: They are actually ghosts. But Cha Cha Woong is not afraid of beings from the spirit realm â€“ in fact, he treats them as his employees...and they, in turn, believe him to be their â€œboss.â€ One day, his path crosses with that of Go Seul Hae, a young, passionate police officer. He attempts to brush her off when she investigates an incident connected to one of his magic shows. But she soon realizes that the magicianâ€™s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</si>
  <si>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Mystery, Comedy, Romance, Fantasy</t>
  </si>
  <si>
    <t>Supernatural, Ghost, Investigation, Magician Male Lead, Police Officer Female Lead, Ghost-seeing Male Lead, Slow Burn Romance, Special Power, Ghost Supporting Character, Love Triangle</t>
  </si>
  <si>
    <t>Park Hae Jin, Jin Ki Joo, Jung Joon, Go Gyu Pil, Jung Suk Yong, Park Seo Yeon</t>
  </si>
  <si>
    <t>#171</t>
  </si>
  <si>
    <t>Hello Monster</t>
  </si>
  <si>
    <t>Genius profiler Lee Hyun, returns home to Korea after something from a case heâ€™s been sent triggers a memory he thought heâ€™d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theyâ€™ve been drawn into a dangerous game of cat and mouse by a master player and that both truth and evil are closer and far more twisted than they think.</t>
  </si>
  <si>
    <t>Thriller, Mystery, Psychological, Drama</t>
  </si>
  <si>
    <t>Smart Male Lead, Investigation, Hidden Identity, Female Chases Male First, Eccentric Male Lead, Slight Romance, Bromance, Calm Male Lead, Hardworking Female Lead, Cold Man/Warm Woman</t>
  </si>
  <si>
    <t>Seo In Guk, Jang Na Ra, Park Bo Gum, Choi Won Young, Lee Chun Hee, Min Sung Wook</t>
  </si>
  <si>
    <t>#172</t>
  </si>
  <si>
    <t>Parasyte: The Grey</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</si>
  <si>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Greyâ€™ and lives only to exterminate the parasitic water after losing her husband to the parasitic water.</t>
  </si>
  <si>
    <t>Action, Mystery, Horror, Sci-Fi</t>
  </si>
  <si>
    <t xml:space="preserve">Adapted From A Manga, Parasite, Gore, Violence, Supernatural Being, Survival, Investigation, Thriller, Conspiracy, Death </t>
  </si>
  <si>
    <t>Jeon So Nee, Koo Kyo Hwan, Lee Jung Hyun</t>
  </si>
  <si>
    <t>#173</t>
  </si>
  <si>
    <t>Moon Embracing the Sun</t>
  </si>
  <si>
    <t>Thirteen-year-old Heo Yeon Woo, the daughter of a high-ranking official, accompanies her mother to the royal palace to attend her brother, Heo Yeom's civil service examination congratulatory ceremony. By chance, she comes across Crown Prince Lee Hwon. They fall in love and Yeon Woo is chosen as the Crown Princess of Joseon. Before they can marry, however, the Dowager Queen secretly orders her death, in order to install Yoon Bo Gyeong, the daughter of a family clan, as Crown Princess, thus securing more power for herself. She orders the head shaman to cast a spell on Yeon Woo to strike her with an unknown sickness. After dying, Yeon Woo is resurrected from her grave but loses her memories. All believe her to be dead, including Crown Prince Lee Hwon, who refuses to love another. Eight years later, Yeon Woo returns as a shaman named Wol (meaning moon). Meanwhile, the young king begins to investigate the death of his love after seeing the grown-up Wol. But he is fighting against time because the queen's powerful political clan wants him removed from power.</t>
  </si>
  <si>
    <t>Historical, Romance, Supernatural, Political</t>
  </si>
  <si>
    <t>Lovers Separated, Amnesia, Power Struggle, Hidden Identity, Joseon Dynasty, First Love, Black Magic, Time Skip, Male Chases Female First, Brother-Sister Relationship</t>
  </si>
  <si>
    <t>Han Ga In, Kim Soo Hyun, Jung Il Woo, Kim Min Seo, Kim Yoo Jung, Yeo Jin Goo</t>
  </si>
  <si>
    <t>#174</t>
  </si>
  <si>
    <t>Train</t>
  </si>
  <si>
    <t>Haunted by the thought that his drunkard father killed another man before also dying on the same day and not paying for his crime, Seo Do Won lives his life trying to secretly repay Han Seo Kyung for his fatherâ€™s sin while hiding the truth. He is now a detective who overworks to escape his guilt, and she is a prosecutor who is still looking for her fatherâ€™s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</si>
  <si>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Parallel Dimension, Suspense, Murder, Death, Tough Female Lead, Slight Romance, Strong Male Lead, Crossworlds Traveler, First Love, Orphan Female Lead</t>
  </si>
  <si>
    <t>Yoon Shi Yoon, Kyung Soo Jin, Shin So Yool, Lee Hang Na, Nam Moon Chul, Jo Wan Ki</t>
  </si>
  <si>
    <t>#175</t>
  </si>
  <si>
    <t>Sh**ting Stars</t>
  </si>
  <si>
    <t>As one of the nationâ€™s most beloved stars, Gong Tae Sung is used to living his life in the spotlight. With the eyes of the world constantly on him, Tae Sung does his best to keep a smile on his face and his temper in check. Seen by the people as a kind and polite young man, the only people who donâ€™t buy into his whole good guy persona are those working for his management company. As the head of that companyâ€™s PR team, Oh Han Byeol knows exactly what Tae Sung is really like. Well aware of his strong desire to win and his hot temper, Han Byeol has had to employ her excellent speech and crisis management skills on a number of occasions, in order to keep Tae Sungâ€™s reputation as spotless as it seems. Constantly bickering, there isnâ€™t anyone in the world better suited to the role of natural enemies than Han Byeol and Tae Sung. Forever at odds with each other, Tae Sung and Han Byeol seem destined to hate each other forever. But could the time theyâ€™re forced to spend together change those feelings or will their mutual loathing last for all eternity?</t>
  </si>
  <si>
    <t>Entertainment Industry, Famous Male Lead, Multiple Mains, Enemies To Lovers, Love/Hate Relationship, Actor Male Lead, Multiple Couples, PR Specialist Female Lead, Actor/Actress Supporting Character, Reporter Female Lead</t>
  </si>
  <si>
    <t>Lee Sung Kyung, Kim Young Dae, Yoon Jong Hoon, Kim Yoon Hye, Park So Jin, Lee Jung Shin</t>
  </si>
  <si>
    <t>#176</t>
  </si>
  <si>
    <t>The Crowned Clown</t>
  </si>
  <si>
    <t>Joseon is in a state of disorder due to uprisings and a power struggle surrounding King Lee Hun. To avoid assassination, a clown named Ha Sun is brought to the palace to take the place of King Lee Hun. Ha Sun looks almost identical to King Lee Hun. When Ha Sun was a child, his parents died during an epidemic. Ha Sun almost died from starvation around that time, but he was saved by a group of clowns. Ha Sun grew up with the clowns and became one of them. During their performance, Ha Sun would play King Lee Hun due to their similar physical appearance. Now, Ha Sun is nervous that someone in the palace will find out he is not the real king. He falls for beautiful Queen Yoo So Woon.</t>
  </si>
  <si>
    <t>Historical, Romance, Melodrama, Political</t>
  </si>
  <si>
    <t>Double Identity, Joseon Dynasty, Noble Woman/Common Man, Identity Swap, Power Struggle, Nice Male Lead, Doppelganger, Revenge, Rebellion, Poor Male Lead</t>
  </si>
  <si>
    <t>Yeo Jin Goo, Lee Se Young, Kim Sang Kyung, Jang Gwang, Yoon Jong Seok, Yoon Gyung Ho</t>
  </si>
  <si>
    <t>#177</t>
  </si>
  <si>
    <t>Mad Dog</t>
  </si>
  <si>
    <t>Choi Kang Woo, who is a former police and leader of Taeyang Insurance's investigators team, decides to create his own investigation team, after an airplane crash that took the life of his wife and son. He then meets Kim Min Joon, a genius former swindler whose brother was also a victim of the crash, thus begin their rivalry and cooperation. The drama portrays the reality of Korea through diverse insurance crimes that are prevalent in the country. There are the 'copy cats' that imitate and improve the existing crimes, and the 'mad dogs' who catch these bad cats.</t>
  </si>
  <si>
    <t>Action, Thriller, Mystery</t>
  </si>
  <si>
    <t>Revenge, Tragic Past, Enemy Mine, Corruption, Insurance, Strong Female Lead, Teamwork, Fraud, Investigation, Bromance</t>
  </si>
  <si>
    <t>Yoo Ji Tae, Woo Do Hwan, Ryu Hwa Young, Jo Jae Yoon, Kim Hye Sung, Hong Soo Hyun</t>
  </si>
  <si>
    <t>#178</t>
  </si>
  <si>
    <t>Birthcare Center</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</si>
  <si>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hasnâ€™t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</si>
  <si>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Comedy, Life, Drama, Melodrama</t>
  </si>
  <si>
    <t>Motherhood, Childbirth, Strong Female Lead, Older Woman/Younger Man, Sismance, Black Comedy, Hardworking Female Lead, Independent Female Lead, Multiple Mains, Pregnancy</t>
  </si>
  <si>
    <t>Uhm Ji Won, Park Ha Sun, Choi Ri, Jang Hye Jin, Yoon Park, Im Hwa Young</t>
  </si>
  <si>
    <t>#179</t>
  </si>
  <si>
    <t>Nine: Nine Times Time Travel</t>
  </si>
  <si>
    <t>Park Sun Woo works as an anchorman at a TV broadcasting station. He is in love with news reporters Joo Min Young, who is bright and honest. Park Sun Woo then obtains 9 incense items, which allows him to go back 20 years in time. Sun Woo travels to the past in an attempt to keep his family safe in order to change the world he lives in today. However, this is not without consequences for his actions in the past affects the lives of many in the present, including his crush.</t>
  </si>
  <si>
    <t>Mystery, Romance, Supernatural</t>
  </si>
  <si>
    <t>Time Travel, 1990s, Bromance, Female Chases Male First, Announcer Male Lead, Reporter Female Lead, Magical Object, Arrogant Male Lead, Brain Tumor, Hidden Past</t>
  </si>
  <si>
    <t>Lee Jin Wook, Lee Seung Joon, Jo Yoon Hee, Oh Min Suk, Lee Yi Kyung, Jo Min Ah</t>
  </si>
  <si>
    <t>#180</t>
  </si>
  <si>
    <t>Extraordinary You</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</si>
  <si>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authorâ€™s plans for her character by utilizing the flashes of storyboard she alone is able to see.</t>
  </si>
  <si>
    <t>Comedy, Romance, Youth, Fantasy</t>
  </si>
  <si>
    <t>Sassy Female Lead, Nice Male Lead, Adapted From A Webtoon, High School, Illness, Height Difference, Love Triangle, Character Development, Strong Female Lead, Amnesia</t>
  </si>
  <si>
    <t>Kim Hye Yoon, Rowoon, Lee Jae Wook, Lee Na Eun, Kim Young Dae, Jung Gun Joo</t>
  </si>
  <si>
    <t>#181</t>
  </si>
  <si>
    <t>Pinocchio</t>
  </si>
  <si>
    <t>The idealistic Choi In Ha has her work cut out for her when she becomes a broadcast reporter, especially when she suffers from a condition known as â€œPinocchio syndrome,â€ which makes her break out into hiccups whenever she tells a lie. Her rookie colleagues include Choi Dal Po, whose shabby appearance masks his true eloquence and sharp memory</t>
  </si>
  <si>
    <t>#182</t>
  </si>
  <si>
    <t>Doctor Prisoner</t>
  </si>
  <si>
    <t>Doctor Prisoner centers around an ace doctor in a university hospitalâ€™s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heâ€™ll get rid of the existing prison chief doctor and claim the spot for himself.</t>
  </si>
  <si>
    <t>Thriller, Law, Crime, Medical</t>
  </si>
  <si>
    <t>Revenge, Smart Male Lead, Corruption, Power Struggle, Scheme, Lying, Smart Female Lead, Strong Female Lead, Deception, Character Development</t>
  </si>
  <si>
    <t>Namkoong Min, Kwon Na Ra, Kim Byung Chul, Choi Won Young, Lee Da In, Jin Hee Kyung</t>
  </si>
  <si>
    <t>#183</t>
  </si>
  <si>
    <t>Love All Play</t>
  </si>
  <si>
    <t>A sports romance drama that depicts the passion and affection for badminton of a male and female protagonist who is a mixed doubles group with players from the badminton business team. Park Tae Joon, who naturally wound up in the world of badminton because of his parentsâ€™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</si>
  <si>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Romance, Drama, Sports, Melodrama</t>
  </si>
  <si>
    <t>Badminton, Athlete Male Lead, Childhood Acquaintance, Teamwork, Friends To Lovers, Competition, Height Difference, Athlete Female Lead, Youth, Friendship</t>
  </si>
  <si>
    <t>Park Ju Hyun, Chae Jong Hyeop, Park Ji Hyun, Kim Moo Joon, Seo Ji Hye, Jo Han Chul</t>
  </si>
  <si>
    <t>#184</t>
  </si>
  <si>
    <t>My Unfamiliar Family</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</si>
  <si>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Heeâ€™s family or her friends who step up to the plate?</t>
  </si>
  <si>
    <t>Life, Drama</t>
  </si>
  <si>
    <t>Family Crisis, Amnesia, Misunderstanding, Multiple Mains, Mother-Son Relationship, Father-Daughter Relationship, Mother-Daughter Relationship, Father-Son Relationship, Friends To Lovers, Marriage</t>
  </si>
  <si>
    <t>Han Ye Ri, Kim Ji Suk, Choo Ja Hyun, Jung Jin Young, Won Mi Kyung, Shin Jae Ha</t>
  </si>
  <si>
    <t>#185</t>
  </si>
  <si>
    <t>Her Private Life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</si>
  <si>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galleryâ€™s new director, saunters into her life. A once famous painter, the former artist turned director considers himself an indifferent being, unconcerned with the lives of others. But when he uncovers Deok Miâ€™s secret, everything changes.</t>
  </si>
  <si>
    <t>Boss-Employee Relationship, Independent Female Lead, Eccentric Female Lead, Orphan Male Lead, Smart Male Lead, Calm Male Lead, Sismance, Fan Culture, Steamy Kiss, Strong Female Lead</t>
  </si>
  <si>
    <t>Park Min Young, Kim Jae Wook, Ahn Bo Hyun, One, Kim Bo Ra, Park Jin Joo</t>
  </si>
  <si>
    <t>#186</t>
  </si>
  <si>
    <t>Age of Youth 2</t>
  </si>
  <si>
    <t>Five girls in their 20s share a house called Belle Ã‰poque. A year has passed since â€œHello, My Twenties 1.â€ Each of them got a job, went back to school, is still trying to get a boyfriend, or is getting over her first breakup. One day, a new student arrives at the house with a letter she stumbled upon. The letter is filled with curses against one of the girls at Belle Ã‰poque.</t>
  </si>
  <si>
    <t>Mystery, Comedy, Romance, Life</t>
  </si>
  <si>
    <t>Multiple Mains, Sismance, Trauma, Multiple Couples, Friendship, Taller Woman/Shorter Man, Investigation, Strong Female Lead, Character Development, Youth</t>
  </si>
  <si>
    <t>Han Ye Ri, Han Seung Yeon, Park Eun Bin, Ji Woo, Choi A Ra, Kim Min Seok</t>
  </si>
  <si>
    <t>#187</t>
  </si>
  <si>
    <t>Secret</t>
  </si>
  <si>
    <t>A man who does not believe in love, falls for a woman who has been hurt by it. Min Hyuk is wealthy, with everything but a good personality, Heâ€™s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</si>
  <si>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Romance, Drama, Melodrama</t>
  </si>
  <si>
    <t>Revenge, Nice Female Lead, Rich Male Lead, Love Square, Naive Female Lead, Slow Burn Romance, Wrongfully Accused, Rich Man/Poor Woman, Pregnancy, Hit And Run</t>
  </si>
  <si>
    <t>Ji Sung, Hwang Jung Eum, Bae Soo Bin, Lee Da Hee, Lee Deok Hwa, Jo Mi Ryung</t>
  </si>
  <si>
    <t>#188</t>
  </si>
  <si>
    <t>Military Prosecutor Doberman</t>
  </si>
  <si>
    <t>Do Bae Man became military prosecutor only to make more money and be successful. On the other hand, Cha Woo In, recently joining Bae Manâ€™s team, became one for her revenge. As these two different purposes shows, the two have very different backgrounds and personalities. However, as they work on the same case, Bae Man and Woo In help each other and even grow together as fine military prosecutors.</t>
  </si>
  <si>
    <t>Action, Military, Mystery, Law</t>
  </si>
  <si>
    <t>Military Abuse, Investigation, Death Of A Mother, Prosecutor Female Lead, Prosecutor Male Lead, Death Of A Father, Money-Hungry Male Lead, Successful Male Lead, Evil Parental Figure, Money-Obsession</t>
  </si>
  <si>
    <t>Ahn Bo Hyun, Jo Bo Ah, Oh Yeon Soo, Kim Young Min, Kim Woo Seok, Kang Mal Geum</t>
  </si>
  <si>
    <t>#189</t>
  </si>
  <si>
    <t>Pachinko</t>
  </si>
  <si>
    <t>This sweeping saga chronicles the hopes and dreams of a Korean immigrant family across four generations as they leave their homeland in an indomitable quest to survive and thrive.</t>
  </si>
  <si>
    <t>Historical, Romance, Drama, Melodrama</t>
  </si>
  <si>
    <t>Co-produced, Discrimination, Immigrant, Adapted From A Novel, Abuse Of Power, Racism, Japanese Colonial Rule, 1980s, Forbidden Love, Miniseries</t>
  </si>
  <si>
    <t>Kim Min Ha, Youn Yuh Jung, Jin Ha, Lee Min Ho, Jeon Yu Na, Park So Hee</t>
  </si>
  <si>
    <t>#190</t>
  </si>
  <si>
    <t>My Roommate Is a Gumiho</t>
  </si>
  <si>
    <t>Shin Woo Yeo is a handsome and smart writer, who is actually a 999-year-old nine-tailed fox. To become a human, he collects human energy in a bead. One day, the drunk friend of Lee Dam, a university student, falls asleep on top of an expensive car whose owner is Woo Yeo. While Lee Dam struggles to take her friend away and Woo Yeo trying to help her, Woo Yeo's bead accidentally falls out of his mouth, and Lee Dam unintentionally swallows it. The bead can exist inside of a human for no more than 1 year and, afterward, the bead will break inside of that person causing the person to die. Not wanting to lose his chance in becoming a human, Woo Yeo explains to Lee Dam their predicament and suggests living together until they figure out a solution. Lee Dam, who has never had a boyfriend in her life, now lives with Shin Woo Yeo.</t>
  </si>
  <si>
    <t>Comedy, Romance, Fantasy</t>
  </si>
  <si>
    <t>Nine-tailed Fox, Cohabitation, Smart Male Lead, Nice Male Lead, Supernatural, Independent Female Lead, Interspecies Romance, Adapted From A Webtoon, Friendship, Multiple Mains</t>
  </si>
  <si>
    <t>Jang Ki Yong, Lee Hye Ri, Kang Han Na, Kim Do Wan, Bae In Hyuk, Park Kyung Hye</t>
  </si>
  <si>
    <t>#191</t>
  </si>
  <si>
    <t>Yumi's Cells 2</t>
  </si>
  <si>
    <t>After suffering a painful breakup, Yu Miâ€™s love cells have shut down completely, but a chance meeting with the emotionally stunted game designer, Goo Woong, changes all of that. Waking up a number of each otherâ€™s cells, Yu Mi and Goo Woong find themselves drawing closer, but even with the revival of their long-dormant love cells, their relationship wasnâ€™t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</si>
  <si>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Comedy, Romance, Life</t>
  </si>
  <si>
    <t>Workplace Setting, Office Worker Female Lead, Office Worker Male Lead, Illustrator Supporting Character, Workplace Romance, Sweet Male Lead, Mixed Live Action-Animation, Adapted From A Webtoon</t>
  </si>
  <si>
    <t>Kim Go Eun, Park Jin Young, Ahn Bo Hyun, Lee Yoo Bi, Mi Ram, Kwon Seung Woo</t>
  </si>
  <si>
    <t>#192</t>
  </si>
  <si>
    <t>My Country: The New Age</t>
  </si>
  <si>
    <t>Set during the end of the Goryeo period to the early Joseon period. Two friends aim their swords against one another due to differences in opinion about "my country." Seo Hwi is a warrior. His father Seo Geom is a famous commander. Seo Hwi does not compromise when it comes to injustice. His life devolves into a hellish existence, but he still holds a smile. Nam Sun Ho is smart and a talented figure. Because his mother was born into the lowest class, Nam Sun Ho is looked down upon by other people. He wants to pass the military service examination. Due to a corruption scandal involving his father, Nam Sun Ho loses his dream. Making things worse, he comes into conflict with Seo Hwi over a misunderstanding.</t>
  </si>
  <si>
    <t>Action, Historical, Romance, Drama</t>
  </si>
  <si>
    <t>Friendship, Multiple Mains, Bromance, Joseon Dynasty, Strong Male Lead, Power Struggle, War, Smart Female Lead, First Love, Evil Parental Figure</t>
  </si>
  <si>
    <t>Yang Se Jong, Woo Do Hwan, Kim Seol Hyun, Jang Hyuk, Kim Yeong Cheol, Ahn Nae Sang</t>
  </si>
  <si>
    <t>#193</t>
  </si>
  <si>
    <t>Sell Your Haunted House</t>
  </si>
  <si>
    <t>Ji Ah, a woman who has inherited exorcism abilities from her mother, is the owner of Daebak Realty, a company that specializes in selling haunted houses. Ji Ah looks perfect and is also brilliant, but her hot temper makes her fists fly before her words. One day, Ji Ah encounters a conman named In Beom who specializes in exorcism fraud. Late at night when Daebak Realty operates, In Beom visits Ji Ah to make an offer. He suggests that they team up to exclusively sell houses that are haunted by vengeful spirits and lingering ghosts. Can the two get along well and deal with house prices, ghosts, and their sorrowful stories?</t>
  </si>
  <si>
    <t>Thriller, Mystery, Comedy, Fantasy</t>
  </si>
  <si>
    <t>Ghost, Supernatural, Exorcism, Strong Female Lead, Smart Female Lead, Cold Female Lead, Suspense, Crime, Secret, Death</t>
  </si>
  <si>
    <t>Jang Na Ra, Jung Yong Hwa, Kang Hong Suk, Kang Mal Geum, Baek Eun Hye, Ahn Kil Kang</t>
  </si>
  <si>
    <t>#194</t>
  </si>
  <si>
    <t>Player</t>
  </si>
  <si>
    <t>A police redemption team consisting of a swindler, a fighter, an elite hacker, and a talented driver is asked to take back property hidden away by criminals. The driver, Cha Ah Ryung, grew up on the streets after being abandoned by her parents.</t>
  </si>
  <si>
    <t>Strong Female Lead, Corruption, Hidden Identity, Conspiracy, Double Identity, Fight, Gang, Unusual Friendship, Badass Male Lead, Hardworking Male Lead</t>
  </si>
  <si>
    <t>Song Seung Heon, Krystal Jung, Lee Si Eon, Tae Won Seok, Kim Won Hae, Ahn Se Ho</t>
  </si>
  <si>
    <t>#195</t>
  </si>
  <si>
    <t>The Legend of the Blue Sea</t>
  </si>
  <si>
    <t>How can a mermaid from the Joseon era survive in modern society? Shim Chung is a mermaid who follows her one true love, a noblemanâ€™s son named Kim Ryung from the Joseon Dynasty, to modern-day Seoul. Ryungâ€™s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Jaeâ€™s heart in Cha Shi Ah, a researcher at KAIST who deals with ancient artifacts. When a dangerous killer named Ma Dae Yeong, sent by Joon Jaeâ€™s stepmother who wants to make her own son the heir to Joon Jaeâ€™s fortunes, can Shim Chung survive her strange new environment while also helping Joon Jae avoid the dangers that await him?</t>
  </si>
  <si>
    <t>Naive Female Lead, Interspecies Romance, Eccentric Female Lead, Cohabitation, Evil Stepmother, First Love, Sassy Female Lead, Hidden Identity, Nice Male Lead, Bromance</t>
  </si>
  <si>
    <t>Lee Min Ho, Jun Ji Hyun, Lee Hee Joon, Shin  Won Ho, Shin Hye Sun, Moon So Ri</t>
  </si>
  <si>
    <t>#196</t>
  </si>
  <si>
    <t>Come and Hug Me</t>
  </si>
  <si>
    <t>This is the story of a tragic love that spans 12 years. When they were children, Yoon Na Moo and Gil Nak Won were each others first love. They are forced to break apart when Na Moo's father Yoon Hee Jae, a psychopath serial killer, murders Nak Won's parents. 9 years later Yoon Na Moo is known as Chae Do Jin, a passionate and kind rookie detective wishing to atone for his father's sins. And Gil Nak Won is now Han Jae Yi, an aspiring actress following in the footsteps of her mother. She suffers from a panic disorder but still has a good outlook on life. However, the sadness of their past comes to light again and their short-lived encounter is over before it began. Another three years on, Jae Yi has become a popular actress and Do Jin is now an experienced detective. When their fate becomes connected once more, will their love prove to be stronger than their past?</t>
  </si>
  <si>
    <t>Thriller, Mystery, Romance, Melodrama</t>
  </si>
  <si>
    <t>Evil Parental Figure, Trauma, Nice Male Lead, Healing, First Love, Violence, Strong Female Lead, Successful Female Lead, Calm Male Lead, Murder</t>
  </si>
  <si>
    <t>Jang Ki Yong, Jin Ki Joo, Heo Joon Ho, Yoon Jong Hoon, Kim Kyung Nam, Seo Jung Yeon</t>
  </si>
  <si>
    <t>#197</t>
  </si>
  <si>
    <t>Partners for Justice</t>
  </si>
  <si>
    <t>Baek Beom has worked as a forensic doctor for 10 years, he is excellent with his work, but does not open his mind to other people. Eun Sol is a rookie prosecutor with a  bright personality and she comes from a wealthy family. The forensic scientist with a bad personality and a warm-hearted prosecutor must join forces in order to catch a serial killer.</t>
  </si>
  <si>
    <t>Thriller, Mystery, Law, Medical</t>
  </si>
  <si>
    <t>Forensic Medical Examiner Male Lead, Prosecutor Female Lead, Forensic Science, Lieutenant Supporting Character, Serial Killer Supporting Character, Criminal Supporting Character, Age Gap [Drama Life], Age Gap [Real Life], Warm Female Lead, Smart Female Lead</t>
  </si>
  <si>
    <t>Jung Jae Young, Jung Yoo Mi, Lee Yi Kyung, Park Eun Seok, Stephanie Lee, Joo Jin Mo</t>
  </si>
  <si>
    <t>#198</t>
  </si>
  <si>
    <t>Seasons of Blossom</t>
  </si>
  <si>
    <t>A story of love and friendship between five high school students from Seoyeon High School. Lee Ha Min appears like a bright person, but there is also darkness within his mind. Han So Mang is a warm-hearted person, but she is also quite timid. Lee Jae Min is a popular student with a painful past. He is kind to everyone around him. Yoon Bo Mi is a sweet, model student. Choi Jin Young loves playing games. He can seem unfriendly and has a delicate personality.</t>
  </si>
  <si>
    <t>Comedy, Romance, Youth, Drama</t>
  </si>
  <si>
    <t>Student, Suicide, Flashback To Past, Death, School, Friendship, Childhood Friends' Relationship, Teenager Female Lead, Teenager Male Lead, Teacher Female Lead</t>
  </si>
  <si>
    <t>Seo Ji Hoon, So Ju Yeon, Kim Min Kyu, Kang Hye Won, Yoon Hyun Soo, Oh Yu Jin</t>
  </si>
  <si>
    <t>#199</t>
  </si>
  <si>
    <t>The Tale of Nokdu</t>
  </si>
  <si>
    <t>Jeon Nok Du lives on an island with his father and older brother. He is smart and a good swordsman. Since he was little, his father did not let him study or go to the mainland. One day, his father and older brother are attacked by a group of female assassins. Jeon Nok Du chases after one of the assassins to the capital. During that time, Jeon Nok Du meets Dong Dong Ju. She wants to shoot the King with her arrow, but Jeon Nok Du saves her from trouble. Meanwhile, the assassin that Jeon Nok Du chases goes into a widowed village. To find out who and why his family was attacked, Jeon Nok Du disguises himself as a woman and enters the widow's village. There, he meets Dong Dong Ju again. She is an apprentice to become a gisaeng.</t>
  </si>
  <si>
    <t>Action, Historical, Comedy, Romance</t>
  </si>
  <si>
    <t>Cross-Dressing, Joseon Dynasty, Hidden Identity, Strong Male Lead, Birth Secret, Strong Female Lead, Gender Bender, First Love, Martial Arts Master, Smart Male Lead</t>
  </si>
  <si>
    <t>Jang Dong Yoon, Kim So Hyun, Kang Tae Oh, Jung Joon Ho, Kim Tae Woo, Yoon Yoo Sun</t>
  </si>
  <si>
    <t>#200</t>
  </si>
  <si>
    <t>Psychopath Diary</t>
  </si>
  <si>
    <t>Yook Dong Shik is a 34-year-old office worker who is so weak and timid that he is used by everybody around him. After an incident, he becomes the scapegoat of his company, and so facing losing his job and his family turning their back on him, he decides to commit suicide. While doing so, he unexpectedly stumbles across a murder scene, but gets into an accident while running from the murderer. He wakes up with amnesia with the psychopath's diary in his possession. With no clues to his true nature other than the diary, and his fragmented memory lining up with the diary entry, he begins to believe that he is in fact a psychopath serial killer. 30-year-old neighborhood police officer, Shim Bo Kyung is investigating a suspected serial homicide. After a few run-ins with Dong Shik, she believes that he is an extremely kind man. However, after one too many coincidences, she starts to suspect Dong Shik might be more involved in the case than she thought. 36-year-old Seo In Woo is a cold and meticulous psychopath. On the day of his 7th crime, things go wrong and he loses his diary where he writes of all his daily life and detailed description of his murders.</t>
  </si>
  <si>
    <t>Thriller, Mystery, Comedy, Crime</t>
  </si>
  <si>
    <t>Black Comedy, Amnesia, Personality Change, Nice Male Lead, Misunderstanding, Wrongfully Accused, Investigation, Murder, Smart Female Lead, Workplace Abuse</t>
  </si>
  <si>
    <t>Yoon Shi Yoon, Jung In Sun, Park Sung Hoon, Lee  Han Wi, Hwang Geum Byul, Kim Kyul</t>
  </si>
  <si>
    <t>#201</t>
  </si>
  <si>
    <t>Knight Flower</t>
  </si>
  <si>
    <t>Cho Yeo Hwa has been a widow for 15 years. Her in-laws are the most prestigious noble family in the kingdom. During the day, she leads the life of a widow devoted entirely to her dead husband's memory and rarely ventures outside the gate of her home. At night, Yeo Hwa dons the mask of Hero, who secretly jumps over the surrounding wall to save the helpless. In the process, she crosses paths with Park Soo Ho, a handsome senior officer in the Capital Guard, who quickly realizes that Hero and Yeo Hwa are not who or what they appear to be.</t>
  </si>
  <si>
    <t>Historical, Mystery, Comedy, Drama</t>
  </si>
  <si>
    <t>Double Identity, Investigation, Widow Female Lead, Joseon Dynasty, Mother-in-law - Daughter-in-law Relationship, Brothers' Relationship, Corruption, Action, Age Gap [Drama Life], Skilled Fighter</t>
  </si>
  <si>
    <t>Lee Ha Nee, Lee Jong Won, Lee Ki Woo, Kim Sang Joong, Park Se Hyun</t>
  </si>
  <si>
    <t>#202</t>
  </si>
  <si>
    <t>The Beauty Inside</t>
  </si>
  <si>
    <t>Han Se Gye is a top actress, also known as a troublemaker, with many rumors around her. To others, her life appears as a mystery, when in fact she is faced with a strange occurrence where she must change into a different body and new identity for one week a month. She encounters Seo Do Jae, a brilliant man who is an executive at an airline company. He seems to have it all: a perfect appearance, knowledge, and a good job</t>
  </si>
  <si>
    <t>#203</t>
  </si>
  <si>
    <t>Tale of the Nine-Tailed</t>
  </si>
  <si>
    <t>The mythical nine-tailed fox, or gumiho, Lee Yeon had to settle in the city many centuries ago. Able to transform into human form, he eradicates supernatural beings that threaten the mortal world. His real aim is to find the reincarnation of his lost first love. The talented television producer Nam Ji Ah works in a show that features urban myths. In the past, her parents were involved in a mysterious car accident and disappeared, and she suspects that Lee Yeon might be connected with this accident. The half-brother to Lee Yeon is the captivating Lee Rang. Despite being half-human himself, he harbors a deep-seated contempt for all people. For sport, he will unleash his seductive prowess upon his human-du-jour, by promising to grant them their wishes, only to trick them into paying a hefty price for their earthly desires.</t>
  </si>
  <si>
    <t>Thriller, Horror, Romance, Fantasy</t>
  </si>
  <si>
    <t>Nine-tailed Fox, Reincarnation, Supernatural, Sibling Rivalry, Fated Love, Interspecies Romance, Mythical Being, Hardworking Female Lead, Smart Female Lead, Strong Female Lead</t>
  </si>
  <si>
    <t>Lee Dong Wook, Jo Bo Ah, Kim Bum, Kim Yong Ji, Hwang Hee, Kim Jung Nan</t>
  </si>
  <si>
    <t>#204</t>
  </si>
  <si>
    <t>Love to Hate You</t>
  </si>
  <si>
    <t>Yeo Mi Ran works as a novice lawyer at Gilmu Law Firm, a company that primarily serves the entertainment industry. She has no interest in pursuing a romantic relationship and detests losing to men in any competition. Nam Kang Ho, a renowned actor in the entertainment industry, is widely popular in South Korea owing to his good looks, intellect, and benevolent nature. While he is in high demand for romantic movie roles, he doesn't have much faith in women. Despite their shared disbelief in love, Yeo Mi Ran and Nam Kang Ho find themselves engaged in a romantic battle.</t>
  </si>
  <si>
    <t>Comedy, Law, Romance</t>
  </si>
  <si>
    <t xml:space="preserve">Badass Female Lead, Enemies To Lovers, Actor Male Lead, Famous Male Lead, Entertainment Industry, Aggressive Female Lead, Social Issues, Skilled Fighter, Lawyer Female Lead, Gender Discrimination </t>
  </si>
  <si>
    <t>Kim Ok Bin, Yoo Teo, Kim Ji Hoon, Go Won Hee</t>
  </si>
  <si>
    <t>#205</t>
  </si>
  <si>
    <t>The Good Detective</t>
  </si>
  <si>
    <t>When doubts arise about a five-year-old murder conviction, a veteran detective partners with a young hotshot to hunt down the case's hidden truths. Kang Do Chang is an 18-year veteran detective who one day, arrests an alleged murderer named Lee Dae Chul. The court later sentences him to death but when reviewing the file of his case, Do Chang discovers evidence that would clear Dae Chul. With time is running out as the mounting evidence threatens to expose the error, Do Chang is caught between seeking power and seeking justice when he meets Oh Ji Hyuk, an elite detective from the police force. These opposites partners begin working together.</t>
  </si>
  <si>
    <t>Wrongfully Accused, Corruption, Investigation, Smart Male Lead, Bromance, Corrupt Legal System, Murder, Crime, Detective Male Lead, Suspense</t>
  </si>
  <si>
    <t>Son Hyun Joo, Jang Seung Jo, Lee Elijah, Oh Jung Se, Ji Seung Hyun, Son Jong Hak</t>
  </si>
  <si>
    <t>#206</t>
  </si>
  <si>
    <t>See You in My 19th Life</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</si>
  <si>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sisterâ€™s death. Upon meeting Ban Ji Eum, she sees her sister in her and becomes curious about Ban Ji Eumâ€™s identity. Ha Do Yoon, Moon Seo Haâ€™s childhood friend and secretary, feels a mysterious connection with him, despite their different backgrounds.</t>
  </si>
  <si>
    <t>Reincarnation, Past Life, Trauma, Death, Adapted From A Webtoon, Childhood Friends' Relationship, First Love, Flashback To Past, Competent Female Lead, Straightforward Female Lead</t>
  </si>
  <si>
    <t>Shin Hye Sun, Ahn Bo Hyun, Ha Yoon Kyung, Ahn Dong Goo</t>
  </si>
  <si>
    <t>#207</t>
  </si>
  <si>
    <t>He Is Psychometric</t>
  </si>
  <si>
    <t>After losing his parents in a fire, Lee Ahn acquires the power of psychometry, the ability to read a person or an object's past through physical contact, and he decides to use it to take bad people down. While he does not know how to control his power yet, he meets Yoon Jae In who tries her best to hide her painful secrets. Together with his foster guardian, prosecutor Kang Seong Mo, and the latter's colleague, investigator Eun Ji Soo, they team up to solve an elusive case that has been haunting the lives of Ahn, Sung Mo, and Jae In. The case revolves around the life of prosecutor Kang's mother and father, who were the main cause of the fire. Jae In and Lee Ahn heal each other through their past present and future and find the culprit.</t>
  </si>
  <si>
    <t>Thriller, Mystery, Romance, Supernatural</t>
  </si>
  <si>
    <t>Psychometry, Special Power, Tragic Past, Nice Male Lead, Smart Female Lead, Bromance, Strong Female Lead, Slow Romance, Sassy Female Lead, Death</t>
  </si>
  <si>
    <t>Park Jin Young, Shin Ye Eun, Kim Kwon, Kim Da Som, Noh Jong Hyun, Go Yoon Jung</t>
  </si>
  <si>
    <t>#208</t>
  </si>
  <si>
    <t>One Spring Night</t>
  </si>
  <si>
    <t>eeling trapped in a stale four-year relationship and reluctant to take the next step into marriage, Lee Jung In stumbles into Yu Ji Ho's pharmacy one morning, nursing a hangover after a night of drinking with her friend. As she tries to reassemble herself before going to work, Jung In discovers that she has forgotten her wallet and cannot pay. Ji Ho kindly helps Jung In, despite her prickly personality. What begins as an innocent daily interaction, develops into a deeper attachment as the two find themselves drawn to one another. They embark on a secret friendship while navigating the minefield of familial and societal expectations.</t>
  </si>
  <si>
    <t>Nice Male Lead, Family Pressure, Strong Female Lead, Adult Romance, Father-Son Relationship, Strict Father, Sismance, Male Chases Female First, Mother-Son Relationship, Mother-Daughter Relationship</t>
  </si>
  <si>
    <t>Jung Hae In, Han Ji Min, Kim Joon Han, Im Sung Eon, Joo Min Kyung, Song Seung Hwan</t>
  </si>
  <si>
    <t>#209</t>
  </si>
  <si>
    <t>Soundtrack #1</t>
  </si>
  <si>
    <t>Two people have been friends for two decades, but a mere two weeks of living together blurs that fine line between love and friendship. Han Sun Woo is a handsome rookie photographer with a warm personality, while Seo Eun Soo is a lively, straightforward, and honest person who openly expresses her feelings. Three years ago, she seized a chance opportunity to become a lyricist. Nowadays details of their relatable romance are subtly interwoven into her musical compositions.</t>
  </si>
  <si>
    <t>Music, Romance</t>
  </si>
  <si>
    <t>Miniseries, Friends To Lovers, Unrequited Love, Long Time Friends, Friendship, Flashback To Past, Cohabitation, Best Friends' Relationship, Songwriter Female Lead, Photographer Male Lead</t>
  </si>
  <si>
    <t>Park Hyung Sik, Han So Hee, Kim Joo Heon, Yoon Byung Hee, Park Min Jung, Park Hoon</t>
  </si>
  <si>
    <t>#210</t>
  </si>
  <si>
    <t>City Hunter</t>
  </si>
  <si>
    <t>Lee Yoon Sung is a talented MIT-graduate who works on the international communications team in the Blue House. He plans revenge on five politicians who caused his father's death with his surrogate father Lee Jin Pyo and eventually becomes a "City Hunter".</t>
  </si>
  <si>
    <t>Action, Thriller, Crime</t>
  </si>
  <si>
    <t>Strong Male Lead, Hidden Identity, Revenge, Corruption, Adapted From A Manga, Strong Female Lead, Smart Male Lead, Romance, Death, Tragic Past</t>
  </si>
  <si>
    <t>Lee Min Ho, Park Min Young, Lee Joon Hyuk, Kim Sang Joong, Hwang Sun Hee, Kim Mi Sook</t>
  </si>
  <si>
    <t>#211</t>
  </si>
  <si>
    <t>Class of Lies</t>
  </si>
  <si>
    <t>8.3</t>
  </si>
  <si>
    <t>The drama is about a highly successful lawyer who falls from grace because of one case. He becomes a fixed term teacher at a high school that is tied to that case in order to regain his honor. Though he goes into the classroom for selfish reasons, he begins to see the crimes that take place and he takes matters into his own hands to help protect victims from their peers. The drama will shine a spotlight on the reality of teenagers facing little to no repercussions after committing a crime because they are teenagers, providing no protection for those who become a victim to these crimes.</t>
  </si>
  <si>
    <t>Thriller, Mystery, Law, Youth</t>
  </si>
  <si>
    <t>Murder, Investigation, Death, High School, Jealousy, Multiple Mains, Rich Male Lead, Suspense, Attempted Murder, Attempted Suicide</t>
  </si>
  <si>
    <t>Yoon Kyun Sang, Geum Sae Rok, Lee Jun Young, Choi Yoo Hwa, Choi Kyu Jin, Han So Eun</t>
  </si>
  <si>
    <t>#212</t>
  </si>
  <si>
    <t>100 Days My Prince</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</si>
  <si>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Heâ€™s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Yulâ€™s eventual recovery, with his memory fully intact?</t>
  </si>
  <si>
    <t>Historical, Comedy, Romance, Drama</t>
  </si>
  <si>
    <t>Amnesia, Hidden Identity, Marriage Of Convenience, Joseon Dynasty, Fake Marriage, Eccentric Male Lead, Hardworking Female Lead, Double Identity, Strong Female Lead, Riches To Rags</t>
  </si>
  <si>
    <t>Doh Kyung Soo, Nam Ji Hyun, Kim Seon Ho, Han So Hee, Jo Sung Ha, Kim Jae Young</t>
  </si>
  <si>
    <t>#213</t>
  </si>
  <si>
    <t>At a Distance, Spring Is Green</t>
  </si>
  <si>
    <t>A coming of age story about young people in their twenties and the problems they face in university. Nam Soo Hyun and Yeo Joon,  two boys with contrasting personalities, unexpectedly become friends when working on a project together. Depicts the realistic worries and conflicts of university students in their 20's, centered around 1st-year student Yeo Joon. Even though Yeo Joon has an attractive appearance and comes from a wealthy background, he carries pain inside. His character is a puppy-dog freshman who takes a liking to a sunbae and follows him around, leading to an unlikely friendship between two very different boys.</t>
  </si>
  <si>
    <t>Romance, Life, Youth</t>
  </si>
  <si>
    <t>Coming Of Age, Bromance, Adapted From A Webtoon, Child Abuse, Student, Depression, Abusive Parents, Anxiety, Childhood Trauma, Hardworking Male Lead</t>
  </si>
  <si>
    <t>Park Ji Hoon, Kang  Min Ah, Bae In Hyuk, Kwon Eun Bin, Choi Jung Woo, Woo Da Vi</t>
  </si>
  <si>
    <t>#214</t>
  </si>
  <si>
    <t>Lie After Lie</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</si>
  <si>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Minâ€™s heart â€“ and become her own daughterâ€™s stepmother. But the truth has a way of coming outâ€¦and if it does, how will her new family react?</t>
  </si>
  <si>
    <t>Thriller, Romance, Melodrama</t>
  </si>
  <si>
    <t>Nice Male Lead, Father-Daughter Relationship, Wrongfully Accused, Revenge, Domestic Abuse, Hidden Identity, Domestic Violence, Evil Mother-in-Law, Hateful Mother-in-Law, Mother-Daughter Relationship</t>
  </si>
  <si>
    <t>Lee Yoo Ri, Yeon Jung Hoon, Lee Il Hwa, Im Ju Eun, Go Na Hee, Kwon Hwa Woon</t>
  </si>
  <si>
    <t>#215</t>
  </si>
  <si>
    <t>The Sound of Magic</t>
  </si>
  <si>
    <t>High school student Yoon Ah Yi finances herself and her younger sister by working part-time jobs. She doesn't know where her parents are. Debt collectors drove her father away from homeâ€”and then her mother fled too. But even with her poor financial circumstances, Yoon Ah Yi manages to rank near the top of her school academically. Yoon Ah Yi wants to become an adult as soon as possible, to have a stable job. Her classmate Na Il Deung competes with Yoon Ah Yi for the top grade, but they begin to have feelings for each other. One day, Yoon Ah Yi meets magician Lee Eul at an abandoned amusement park. He performs magic shows for people who believe in magic. He is a mysterious person</t>
  </si>
  <si>
    <t>#216</t>
  </si>
  <si>
    <t>The Mysterious Class</t>
  </si>
  <si>
    <t>"There are 21 students in our class." "What are you talking about... Your class had 20 students right from the start..!!" Peaceful class 4 of the 3rd grade of Treasure High. Friendship and a mystery thriller while doubting each other. Will they be able to find the ghost?</t>
  </si>
  <si>
    <t>Mystery, Horror, Youth, Supernatural</t>
  </si>
  <si>
    <t>Student, Ghost, Investigation, High School, School, Suspense, Miniseries, Web Series, Friendship</t>
  </si>
  <si>
    <t>Choi Hyun Suk, Park Ji Hoon, Yoshi, Kim Jun Kyu, Mashiho, Yoon Jae Hyuk</t>
  </si>
  <si>
    <t>#217</t>
  </si>
  <si>
    <t>Good Doctor</t>
  </si>
  <si>
    <t>Although Park Shi On is an autistic savant who lacked mental maturity and empathy, he graduated from medical school with distinction. His medical skills are exceptional, but he struggles to deal with his superiors and his patients due to his lack of interpersonal skills. As he struggles to adapt, some of his fellow doctors befriend him, supporting him during the most trying times. His dedication and exceptional skills should make him a great pediatrician, but can he overcome the systemic bias and discrimination or will he quit out of frustration?</t>
  </si>
  <si>
    <t>Autism, Eccentric Male Lead, Ableism, Child Abuse, Slow Burn Romance, Doctor Female Lead, Doctor Male Lead, Autistic Male Lead, Savant Syndrome, Mental Illness</t>
  </si>
  <si>
    <t>Joo Won, Moon Chae Won, Joo Sang Wook, Kim Min Seo, Ha Kyu Won, Kim Hyun Soo</t>
  </si>
  <si>
    <t>#218</t>
  </si>
  <si>
    <t>It's Okay, That's Friendship</t>
  </si>
  <si>
    <t>The 12 members of TREASURE take on acting for the first time ever since debut.</t>
  </si>
  <si>
    <t>Comedy, Life</t>
  </si>
  <si>
    <t>Idol Male Lead, Multiple Mains, Transfer Student, Web Series, Student, Bromance, School, Friendship</t>
  </si>
  <si>
    <t>Choi Hyun Suk, Park Ji Hoon, Kim Jun Kyu, Yoshi, Mashiho, Yoon Jae Hyuk</t>
  </si>
  <si>
    <t>#219</t>
  </si>
  <si>
    <t>Rookie Cops</t>
  </si>
  <si>
    <t>A coming-of-age story that captures the spirit, challenges and passion of youth as two students at the Korean National Police University experience life's charms and traumas whilst trying to become full-fledged cops. From bridging generation gaps with harmony to finding their own romance on campus, two very different students work to achieve their dreams and aspirations in the line of duty.</t>
  </si>
  <si>
    <t>Police Academy, University, Campus Setting, Hardship, Coming Of Age, Student, Student-Teacher Relationship, Teacher Supporting Character, Chasing A Dream, Ambition</t>
  </si>
  <si>
    <t>Kang Daniel, Chae Soo Bin, Lee Shin Young, Park Yoo Na, Park Sung Joon, Min Do Hee</t>
  </si>
  <si>
    <t>#220</t>
  </si>
  <si>
    <t>True Beauty</t>
  </si>
  <si>
    <t>True Beauty is a romantic comedy about a high school girl Lim Ju Gyeong, who rises to pretty girl fame after she masters the art of make-up from YouTube. She turns into a goddess because of her makeup skills, but would rather die than reveal her bare face to anyone. It tells her love story with the only boy that saw her without makeup, Lee Su Ho. Lee is an attractive and handsome boy who appears cold because of his dark past but is actually very caring. They grow when they meet each other sharing their secrets and finding love with each other, but can Su Ho make Ju Gyeong find her true beauty?</t>
  </si>
  <si>
    <t>Adapted From A Webtoon, Makeover, Popular Male Lead, Beauty, High School, Hidden Identity, Beauty Standards, Nice Female Lead, Smart Male Lead, Transformation</t>
  </si>
  <si>
    <t>Moon Ga Young, Cha Eun Woo, Hwang In Youp, Park Yoo Na, Jang Hye Jin, Park Ho San</t>
  </si>
  <si>
    <t>#221</t>
  </si>
  <si>
    <t>Oh My Ghost</t>
  </si>
  <si>
    <t>Bong Sun, a timid young woman, is possessed by the ghost of a lustful virgin. She has zero self-confidence, and because of her extreme shyness, she doesnâ€™t have any close friends. At the restaurant where she works as an assistant, sheâ€™s not particularly good at anything, and mostly just gets yelled at a lot. Her grandmother was a shaman so from a young age sheâ€™s been able to occasionally see ghosts, though itâ€™s not until she meets the lascivious ghost that she gets possessed totally. Sun Woo is a conceited star chef whoâ€™s overflowing with confidence in his food and his skills. Bong Sun harbours a secret crush on him, though he doesn't take much notice of her for two reasons: because heâ€™s always surrounded by women and because heâ€™s hung up on an old flame. But then one day, Bong Sun starts acting differently, shedding her mousy personality, and ends up constantly on Sun Wooâ€™s mind.</t>
  </si>
  <si>
    <t>Thriller, Comedy, Romance, Supernatural</t>
  </si>
  <si>
    <t>Boss-Employee Relationship, Identity Swap, Hardworking Male Lead, Successful Male Lead, Ghost-seeing Female Lead, Sismance, Love Triangle, Cold Man/Warm Woman, Female Chases Male First, Shamanism</t>
  </si>
  <si>
    <t>Park Bo Young, Kim Seul Gi, Jo Jung Suk, Im Joo Hwan, Kang Ki Young, Kwak Shi Yang</t>
  </si>
  <si>
    <t>#222</t>
  </si>
  <si>
    <t>God's Gift: 14 Days</t>
  </si>
  <si>
    <t>Kim Soo Hyun is a mother whose young daughter Han Saet Byul gets kidnapped and murdered. Due to a mysterious event where time was turned back exactly 14 days before the event, Soo Hyun is given a second chance to expose the kidnapping plot and save her daughter before she dies all over again. Helping her is Ki Dong Chan, a former cop turned private investigator who seems to have his own stake in the whole situation. As Soo Hyun and Dong Chan race against the clock, new light is shed on the crimes, and they uncover secrets far more treacherous than Soo Hyun could have ever imagined.</t>
  </si>
  <si>
    <t>Thriller, Mystery, Drama, Supernatural</t>
  </si>
  <si>
    <t>Time Travel, Screenwriter Female Lead, Detective Fiction, Investigator Male Lead, Serial Killings, Misfortune, Injury, Conflict, Wrongfully Accused, Stalking</t>
  </si>
  <si>
    <t>Lee Bo Young, Cho Seung Woo, Kim Tae Woo, Kim Yoo Bin, Jung Gyu Woon, Kim Jin Hee</t>
  </si>
  <si>
    <t>#223</t>
  </si>
  <si>
    <t>The Sound of Your Heart</t>
  </si>
  <si>
    <t>"The Sound of Your Heart" comically follows Jo Suk's ridiculous but hilarious adventures with his girlfriend-turned-wife Ae Bong, their dogs, older brother Jo Joon, and parents.</t>
  </si>
  <si>
    <t>Comedy, Life, Sitcom</t>
  </si>
  <si>
    <t>Mother-Son Relationship, Father-Son Relationship, Adapted From A Webtoon, Short Length Series, Web Series, Slow Romance, Family</t>
  </si>
  <si>
    <t>Lee Kwang Soo, Kim Dae Myung, Jung So Min, Kim Byung Ok, Kim  Mi Kyung, Park Sang Hoon</t>
  </si>
  <si>
    <t>#224</t>
  </si>
  <si>
    <t>The Veil</t>
  </si>
  <si>
    <t>A Korean-style spy investigation show with a story about a top National Intelligence Service (NIS) agent. In his endeavor to uncover the internal traitor that brought him to his downfall, he confronts a much bigger enemy behind the organization. Han Ji Hyuk is the top field agent in the NIS. He is held in awe by his colleagues for his perfect record and skill at completing missions. He had been driving an organized crime syndicate into a corner when he vanished off the face of the earth, but he returns in the most horrific state and doesn't remember anything that happened within the last year. With his memory lost, Ji Hyuk gets assigned to a team with minor tasks. While on the team, he meets Je Yi, who is delicate and heartwarming but with a painful past. Seo Soo Yeon is the head of team 4 of the Crime Information Center who is excellent at performing her duties and solving cases. She has great affection for people, and she especially cares for her teammates.</t>
  </si>
  <si>
    <t>Action, Thriller, Mystery, Crime</t>
  </si>
  <si>
    <t>Badass Male Lead, Antihero, Smart Male Lead, National Intelligence Service, Strong Male Lead, Espionage, Investigation, Suspense, Drama, Agent Male Lead</t>
  </si>
  <si>
    <t>Namkoong Min, Park Ha Sun, Kim Ji Eun, Jang Young Nam, Kim Jong Tae, Kim Do Hyun</t>
  </si>
  <si>
    <t>#225</t>
  </si>
  <si>
    <t>Graceful Family</t>
  </si>
  <si>
    <t>Mo Seok Hee is the sole daughter of the MC Group business empire. Financially, she wants for nothing. However, all is not well with her. She is haunted by the passing of her mother, who died in mysterious circumstances a decade and a half ago. Ever since her motherâ€™s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Heeâ€™s mother. Will Mo Seok Hee and Heo Yoon Do uncover the dark truth behind a death that took place 15 years ago? What other secrets is the MG Group hiding? And could working together lead the duo to romance?</t>
  </si>
  <si>
    <t>Thriller, Mystery, Drama, Melodrama</t>
  </si>
  <si>
    <t>Strong Female Lead, Smart Female Lead, Grandpa-Granddaughter Relationship, Badass Female Lead, Calm Male Lead, Rich Female Lead, Family Secret, Murder, Slow Burn Romance, Slight Romance</t>
  </si>
  <si>
    <t>Im Soo Hyang, Lee Jang Woo, Bae Jong Ok, Lee Kyu Han, Kim Jin Woo, Jeon Jin Seo</t>
  </si>
  <si>
    <t>#226</t>
  </si>
  <si>
    <t>Gu Family Book</t>
  </si>
  <si>
    <t>Choi Kang Chi is a half-human and half-mythical-creature who was adopted by the lord of the Hundred Years Inn. He was the son of Gu Wol Ryung, the guardian spirit of Jiri Mountain, and the human Yoon Seo Hwa. Dam Yeo Wool is a martial arts master and daughter of the leader of a secret organization protecting the region. She was sent to the Hundred Years Inn to observe and protect its lord. They met at the Hundred Years Inn, the most popular inn in the region, and fell in love with each other despite Choi Kang Chi being a half-human. When their world turned into chaos, it is up to Choi Kang Chi to put it back into order</t>
  </si>
  <si>
    <t>#227</t>
  </si>
  <si>
    <t>The Hymn of Death</t>
  </si>
  <si>
    <t>Kim Woo Jin is a stage drama writer while Korea is under Japanese occupation. He is married, but he falls in love with Yun Shim Deok. Shim Deok is the first Korean soprano. She records the song â€œPraise of Deathâ€ which becomes the first Korean pop song in 1926. Woo Jin and Shim Deok's fate ends tragically.</t>
  </si>
  <si>
    <t>Music, Historical, Romance, Melodrama</t>
  </si>
  <si>
    <t>Forbidden Love, Based On True Story, Biographical, Miniseries, Star Crossed Lovers, Rich Male Lead, Disapproving Parent, Japanese Colonial Rule, Arranged Marriage, Nice Male Lead</t>
  </si>
  <si>
    <t>Lee Jong Suk, Shin Hye Sun, Park Seon Im, Lee Ji Hoon, Han Eun Seo, Kim Kang Hyun</t>
  </si>
  <si>
    <t>#228</t>
  </si>
  <si>
    <t>Jumong</t>
  </si>
  <si>
    <t>Jumong was the founder of Goguryeo in 37 BC. He was the son of General Hae Mo Su and Lady Yoo Hwa and was raised by King Geum Wa, who took him and his mother in when Hae Mo Su was believed to have been killed in an ambush by the Han Dynasty. So Seo No was a merchant's daughter who helped Jumong in realizing his dream to build a new country, and later became his second wife.</t>
  </si>
  <si>
    <t>Adventure, Historical, Romance, Drama</t>
  </si>
  <si>
    <t>Leadership, Strong Female Lead, Power Struggle, Goguryeo Dynasty, War, Jumong, Father-Son Relationship, Archery, Royalty, Han Dynasty</t>
  </si>
  <si>
    <t>Song Il Gook, Han Hye Jin, Kim Seung Soo, Jeon Kwang Ryul, Oh Yeon Soo, Song Ji Hyo</t>
  </si>
  <si>
    <t>#229</t>
  </si>
  <si>
    <t>Vampire Prosecutor 2</t>
  </si>
  <si>
    <t>In the second season of â€œVampire Prosecutor,â€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â€œpowersâ€ to find leads on cases that seem unsolvable. But the one thing he canâ€™t solve is: who was the vampire/serial killer that turned him seven years ago? And what happens when Jung In becomes suspicious of Tae Yeonâ€™s â€œquestionableâ€ tactics in solving cases.</t>
  </si>
  <si>
    <t>Action, Mystery, Drama, Supernatural</t>
  </si>
  <si>
    <t>Supernatural Power, Police Procedural, Death, Investigation, Murder, Violence, Vampire Fiction, Prosecutor Male Lead, Torture, Kidnapping</t>
  </si>
  <si>
    <t>Yeon Jung Hoon, Lee Young Ah, Lee Won Jong, Lee Kyung Young, Kim Joo Young, Gong Jung Hwan</t>
  </si>
  <si>
    <t>#230</t>
  </si>
  <si>
    <t>Ugly Alert</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</si>
  <si>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grandfatherâ€™s company. Na Do Hee falls in love with Gong Joon Soo as both of them get to understand each other and cure their wounds.</t>
  </si>
  <si>
    <t>Business, Romance, Melodrama</t>
  </si>
  <si>
    <t>Rich Woman/Poor Man, Nice Male Lead, Strong Female Lead, Female Chases Male First, Bromance, Unexpected Pregnancy, Steamy Kiss, Multiple Couples, Poor Male Lead, Ex-Convict Male Lead</t>
  </si>
  <si>
    <t>Im Joo Hwan, Kang So Ra, Kang  Byul, Choi  Tae Joon, Kim Seol Hyun, Shin So Yool</t>
  </si>
  <si>
    <t>#231</t>
  </si>
  <si>
    <t>Misty</t>
  </si>
  <si>
    <t>Go Hye Ran is an ambitious anchorwoman for the popular news show, News 9. She is passionate about her job and doesn't stop until she gets what she wants. One day, she meets an old lover and his wife and gets tangled in a murder case. Her husband Kang Tae Wook, who is a public defender, decides to defend his wife and fix their failed marriage.</t>
  </si>
  <si>
    <t>Strong Female Lead, Badass Female Lead, Infidelity, Murder, Smart Male Lead, Misunderstanding, Suspense, Eccentric Female Lead, Marriage, Calm Female Lead</t>
  </si>
  <si>
    <t>Kim Nam Joo, Ji Jin Hee, Jeon Hye Jin, Im Tae Kyung, Go Jun, Jin Ki Joo</t>
  </si>
  <si>
    <t>#232</t>
  </si>
  <si>
    <t>Voice 3: City of Accomplices</t>
  </si>
  <si>
    <t>Emergency 112 call center members deal with an international evil cartel. The group is involved in the internet's dark web.</t>
  </si>
  <si>
    <t>Thriller, Mystery, Psychological, Crime</t>
  </si>
  <si>
    <t>Strong Female Lead, Leadership, Tough Male Lead, Investigation, Calm Female Lead, Teamwork, Impulsive Male Lead, Smart Female Lead, Smart Male Lead, Human Trafficking</t>
  </si>
  <si>
    <t>Lee  Ha Na, Lee Jin Wook, Son Eun Seo, Kim Woo Seok, Kim Joong Ki, Song Boo Geon</t>
  </si>
  <si>
    <t>#233</t>
  </si>
  <si>
    <t>Confession</t>
  </si>
  <si>
    <t>A case involving the hidden truth behind the law prohibiting double jeopardy. When Choi Do Hyun was a boy, he had a heart disease. He spent most of his childhood in a hospital. He miraculously had a chance for a heart transplant. Right after the successful heart transplant surgery, his father was accused of murder. His father received the death penalty. To investigate his father's case, Do Hyun now works as a lawyer.</t>
  </si>
  <si>
    <t>Corruption, Wrongfully Accused, Nice Male Lead, Bromance, Smart Male Lead, Murder, Illness, Calm Male Lead, Hardworking Male Lead, Heart Transplant</t>
  </si>
  <si>
    <t>Lee Jun Ho, Shin Hyun Bin, Yoo Jae Myung, Nam Ki Ae, Yoon Gyung Ho, Ryu Kyung Soo</t>
  </si>
  <si>
    <t>#234</t>
  </si>
  <si>
    <t>Again My Life</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</si>
  <si>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â€œdeath.â€</t>
  </si>
  <si>
    <t>Mystery, Law, Drama, Fantasy</t>
  </si>
  <si>
    <t>Time Travel, Fight For Justice, Death, Prosecutor Male Lead, Second Chance, Strong Male Lead, Corruption, Violence, Investigation, Bullied Male Lead</t>
  </si>
  <si>
    <t>Lee Joon Gi, Lee Kyung Young, Kim Ji Eun, Jung Sang Hoon, Choi Kwang, Hong Bi Ra</t>
  </si>
  <si>
    <t>#235</t>
  </si>
  <si>
    <t>Money Heist: Korea - Joint Economic Area - Part 1</t>
  </si>
  <si>
    <t>Thieves overtake the mint of a unified Korea. With hostages trapped inside, the police must stop them â€” as well as the shadowy mastermind behind it all.</t>
  </si>
  <si>
    <t>Hidden Identity, Hostage Situation, Reunification Of Korea, Multiple Mains, Sexual Content, Violence, Murder, Heist, Nudity, Strong Female Lead</t>
  </si>
  <si>
    <t>Yoo Ji Tae, Park Hae Soo, Jeon Jong Seo, Lee Won Jong, Kim Ji Hoon, Jang Yoon Ju</t>
  </si>
  <si>
    <t>#236</t>
  </si>
  <si>
    <t>Are You Human Too?</t>
  </si>
  <si>
    <t>The drama tells of an android called Nam Shin III who must pretend to be the son of a rich family when the real Nam Shin falls into a coma. Nam Shin's mother, Oh Ro Ra, is a genius at brain technology and artificial intelligence (AI) so when her son, the real Nam Shin, is taken away from her at a young age, in her grief she creates an android that looks exactly like her son and has it grow up in the place of Nam Shin. But when Nam Shin, who is a third generation heir to PK group, gets in an accident and is comatose, the android Nam Shin III must learn how to take his place.</t>
  </si>
  <si>
    <t>Comedy, Romance, Sci-Fi, Fantasy</t>
  </si>
  <si>
    <t>Robot, Nice Male Lead, Artificial Intelligence, Interspecies Romance, Smart Male Lead, Identity Swap, Android, Strong Male Lead, Hidden Identity, Cheerful Male Lead</t>
  </si>
  <si>
    <t>Seo Kang Joon, Gong Seung Yeon, Lee Joon Hyuk, Park Hwan Hee, Kim Sung Ryung, Yoo Oh Sung</t>
  </si>
  <si>
    <t>#237</t>
  </si>
  <si>
    <t>Run On</t>
  </si>
  <si>
    <t>Ki Sun Gyeom is a sprinter on the national team who was forced to quit due to legal issues. Oh Mi Joo writes translated subtitles for movies. She was thrilled to see her name listed among the credits when she first started. Ki Sun Gyeom had just quit sprinting when he encountered Oh Mi Joo, who felt that destiny most certainly brought them together. Seo Dan Ah is the CEO of a sports agency and the rightful successor to the Seomyung Group. Despite this, she is held back from advancing in the company due to her gender. She fiercely wishes to reclaim what is rightfully hers and lives her life accordingly. Lee Young Hwa, a university art major who enjoys movies and drawing soon enters her life. Could romance be in the cards for these two couples?</t>
  </si>
  <si>
    <t>Romance, Life, Drama, Sports</t>
  </si>
  <si>
    <t>Strong Female Lead, Calm Male Lead, Quirky Humour, Multiple Couples, Nice Male Lead, Hardworking Female Lead, Smart Female Lead, Eccentric Male Lead, Famous Male Lead, Father-Son Relationship</t>
  </si>
  <si>
    <t>Yim Si Wan, Shin Se Kyung, Choi Soo Young, Kang Tae Oh, Park Young Gyu, Cha Hwa Yun</t>
  </si>
  <si>
    <t>#238</t>
  </si>
  <si>
    <t>The Smile Has Left Your Eyes</t>
  </si>
  <si>
    <t>A TV series centered around the unfolding relationship between free and unpredictable yet dangerous Kim Moo Young, who is called a "monster". He is the first assistant in a Korean beer brewery who becomes a suspect when a woman's suicide turns out to be murder. His life begins to change when he meets a kind, warm advertising designer named Yoo Jin Kang, who wishes to be Moo Young's safe haven. She bears as many emotional scars as him. Yoo Jin Kang also has a brother, a homicide detective named Yoo Jin Gook, with 27 years of job experience. He strives to "reveal" who Moo Young really is and attempts to keep his sister, Jin Kang, away from Moo Young, with whom she begins to know.</t>
  </si>
  <si>
    <t>Thriller, Mystery, Romance, Drama</t>
  </si>
  <si>
    <t>Antihero, Psychological, Murder, Tragic Past, Smart Male Lead, Investigation, Eccentric Male Lead, Cold Man/Warm Woman, Orphan Male Lead, Melodrama</t>
  </si>
  <si>
    <t>Seo In Guk, Jung So Min, Park Sung Woong, Seo Eun Soo, Go Min Si, Jang Young Nam</t>
  </si>
  <si>
    <t>#239</t>
  </si>
  <si>
    <t>Team Bulldog: Off-duty Investigation</t>
  </si>
  <si>
    <t>Known as an enthusiastic and impressively effective detective, Jin Kang Ho will stop at nothing to catch the criminals heâ€™s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itâ€™s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</si>
  <si>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Action, Mystery, Comedy, Drama</t>
  </si>
  <si>
    <t>Investigation, Strong Female Lead, Teamwork, Smart Female Lead, Multiple Mains, Eccentric Female Lead, Eccentric Male Lead, Police Department Setting, Detective Fiction, Detective Male Lead</t>
  </si>
  <si>
    <t>Cha Tae Hyun, Lee Sun Bin, Jung Sang Hoon, Yoon Gyung Ho, Ji Seung Hyun, Im Chul Hyung</t>
  </si>
  <si>
    <t>#240</t>
  </si>
  <si>
    <t>The Guardians</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</si>
  <si>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â€œThe Guardiansâ€ will have stylistic action scenes and a thrilling plot.</t>
  </si>
  <si>
    <t>Action, Thriller, Mystery, Law, Crime</t>
  </si>
  <si>
    <t>Revenge, Strong Female Lead, Corruption, Tragic Past, Teamwork, Investigation, Smart Male Lead, Attempted Murder, Lying, Policewoman</t>
  </si>
  <si>
    <t>Lee Si Young, Kim Young Kwang, Kim Tae Hoon, Kim Seul Gi, Key, Choi Moo Sung</t>
  </si>
  <si>
    <t>#241</t>
  </si>
  <si>
    <t>Terius Behind Me</t>
  </si>
  <si>
    <t>Go Ae Rin is a single mother who, after unexpectedly losing her husband, gets involved in a spy war. She lives in the apartment in front of Kim Bon. Kim Bon, whose code name is Terius, is a legendary black ops agent for the National Intelligence Service (NIS) who has gone into hiding after disappearing without a trace. 3 years ago, in a failed secret operation, he lost the woman he loved. Since then, Kim Bon has hidden away in his apartment, next to Go Ae Rin, isolated from the world around him and living in secrecy trying to uncover the mystery behind what happened back then. When a mysterious incident arises, in which Go Ae Rin's husband dies, they both team up to uncover a huge conspiracy in which Go Ae Rin's husband had become involved. Joining them is Jin Young Tae, a former con man, who may hold the key to what Go Ae Rin and Kim Bon are searching for, and Yoo Ji Yeon, a fellow NIS agent, who appears cold and unfeeling on the outside but harbours feelings towards Kim Bon, who she is kind towards.</t>
  </si>
  <si>
    <t>Action, Mystery, Comedy, Romance</t>
  </si>
  <si>
    <t>Corruption, Hidden Identity, Tragic Past, Teamwork, Spy Male Lead, Undercover Agent Male Lead, Character Development, Strong Female Lead, Single Mother Female Lead, Nice Male Lead</t>
  </si>
  <si>
    <t>So Ji Sub, Jung In Sun, Son Ho Jun, Im Se Mi, Kim Gun Woo, Ok Ye Rin</t>
  </si>
  <si>
    <t>#242</t>
  </si>
  <si>
    <t>Hyena</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</si>
  <si>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heâ€™s an expert at maneuvering the law to cater to their needs.</t>
  </si>
  <si>
    <t>Mystery, Comedy, Law, Romance</t>
  </si>
  <si>
    <t>Law Firm, Badass Female Lead, Investigation, Love/Hate Relationship, Corruption, Sismance, Sly Female Lead, Ambition, Deception, Rivalry</t>
  </si>
  <si>
    <t>Joo Ji Hoon, Kim Hye Soo, Lee Kyung Young, Kim Ho Jung, Song Young Kyu, Jun Suk Ho</t>
  </si>
  <si>
    <t>#243</t>
  </si>
  <si>
    <t>Touch Your Heart</t>
  </si>
  <si>
    <t>Oh Yoon Seo is a popular actress. She is famous for her beautiful appearance, but her acting is bad. She gets involved in a scandal with the son from a chaebol family. Her acting career declines precipitously. Oh Yoon Seo hears that a famous screenwriter wants her to play the lead female role for a drama series. The character works as a secretary for a lawyer. To gain experience for the role, Oh Yoon Seo is required to work as a lawyer's secretary for a few months. Meanwhile, Kwon Jung Rok is an attorney for a law firm. He is arrogant and cold-hearted. One day, his boss asks Kwon Jung Rok to let actress Oh Yoon Seo work as his secretary for 3 months. He is not happy about the situation, but he has to accept.</t>
  </si>
  <si>
    <t>Comedy, Law, Romance, Drama</t>
  </si>
  <si>
    <t>Famous Lead/Common Lead, Law Firm, Hardworking Male Lead, Hardworking Female Lead, Nice Male Lead, Calm Male Lead, Opposites Attract, Smart Male Lead, Smart Female Lead, Naive Female Lead</t>
  </si>
  <si>
    <t>Lee Dong Wook, Yoo In Na, Lee Sang Woo, Son Sung Yoon, Oh Jung Se, Shim Hyung Tak</t>
  </si>
  <si>
    <t>#244</t>
  </si>
  <si>
    <t>Angry Mom</t>
  </si>
  <si>
    <t>The protagonist, Jo Kang Ja was once legendary for being the toughest, most feared troublemaker at her high school in Busan. Due to her pregnancy in her late teens, she drops out of school and tries to become a responsible mother to her daughter, Oh Ah Ran. Fast-forward to the present, Kang Ja is now 34 years old and Ah Ran is a teenager attending high school. The two have a contentious relationship, with Ah Ran ashamed of Kang Ja's unrefined ajumma manners. Meanwhile, in Myungsung High School, when Ah Ran befriends the class outcast Jin Yi Kyung, it makes her the target of the school bullies who make her life hell, yet she's too proud to tell her mother what's happening. When Kang Ja finds out that her daughter is getting bullied, she decides to take matters into her own hands. Unbeknownst to Ah Ran, Kang Ja enrolls in Myungsung High as an undercover student with the false name "Jo Bang Wool" to teach those bullies a lesson. But she ends up unraveling the darker problems within the educational system. Kang Ja makes it her mission to put a stop to the school violence, dig up the flaws of the education system, and school corruption at Myungsung High with the help of Ah Ran and naive, idealistic homeroom teacher Park No Ah.</t>
  </si>
  <si>
    <t>Comedy, Drama, Melodrama</t>
  </si>
  <si>
    <t>Independent Female Lead, Mother-Daughter Relationship, High School, Corruption, Strong Female Lead, School Bullying, Double Identity, Sexual Harassment, Sexual Assault, Smart Female Lead</t>
  </si>
  <si>
    <t>Kim Hee Sun, Kim Yoo Jung, Ji Hyun Woo, Kim Ji Soo, Baro, Kim Tae Hoon</t>
  </si>
  <si>
    <t>#245</t>
  </si>
  <si>
    <t>Welcome 2 Life</t>
  </si>
  <si>
    <t>â€œWelcome 2 Lifeâ€ is a fantasy drama that will tell the story about a selfish lawyer who helps people who want to take advantage of the law. One day, he gets sucked into a parallel universe due to an unfortunate accident and begins to live a completely new life as an upright prosecutor.</t>
  </si>
  <si>
    <t>Comedy, Law, Romance, Fantasy</t>
  </si>
  <si>
    <t>Successful Male Lead, Smart Male Lead, Strong Female Lead, Parallel Dimension, Second Chance, Marriage, Father-Daughter Relationship, Death, Law Firm, Police Department Setting</t>
  </si>
  <si>
    <t>Rain, Im Ji Yeon, Kwak Shi Yang, Seo Hye Rin, Park Yoon Young, Son Byung Ho</t>
  </si>
  <si>
    <t>#246</t>
  </si>
  <si>
    <t>Suspicious Partner</t>
  </si>
  <si>
    <t>Noh Ji Wook is a brainiac prosecutor and Eun Bong Hee is a rookie justice department intern, who always seems to find herself in the most unfortunate and embarrassing situations. Bong Hee is falsely accused of murdering her ex-boyfriend, and Ji Wook gets demoted because he risks his career and reputation to save Bong Hee. Things get complicated as their careers, and love lives get entangled, but one thing brings them together- catching the real culprit responsible for a series of murders before they run out of time and get themselves killed. Ji Eun Hyuk used to be a good friend of Ji Wook, and their friendship used to be the strongest ever. During Eun Hyuk's troubled childhood, Ji Wook used to feel like his only family.</t>
  </si>
  <si>
    <t>Thriller, Comedy, Law, Romance</t>
  </si>
  <si>
    <t>Cohabitation, Nice Male Lead, Hardworking Female Lead, Smart Male Lead, Tragic Past, Nice Female Lead, Ex-girlfriend Comes Back, Steamy Kiss, Strong Female Lead, Wrongfully Accused</t>
  </si>
  <si>
    <t>Ji Chang Wook, Nam Ji Hyun, Choi  Tae Joon, Kwon Na Ra, Dong Ha, Kim Ye Won</t>
  </si>
  <si>
    <t>#247</t>
  </si>
  <si>
    <t>Mine</t>
  </si>
  <si>
    <t>â€œMineâ€ is about strong and ambitious women who overcome the worldâ€™s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</si>
  <si>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Rich Female Lead, Strong Female Lead, Rich Family, Multiple Couples, Sibling Rivalry, Smart Female Lead, Ambition, Hidden Identity, Psychological, Big Family</t>
  </si>
  <si>
    <t>Lee Bo Young, Kim Seo Hyung, Ok Ja Yeon, Lee Hyun Wook, Cha Hak Yeon, Jung Yi Seo</t>
  </si>
  <si>
    <t>#248</t>
  </si>
  <si>
    <t>When the Weather Is Fine</t>
  </si>
  <si>
    <t>A story about forgiveness, healing, and love taking place around a small book store in the countryside. Hae Won is an ordinary woman with good character. She has played the cello since she was a child. Hae Won began her social life with her ability to play the cello but, during that time, she was hurt emotionally by others. Due to that, Hae Won does not trust people and she has closed her heart to others. Hae Won becomes sick and tired of her life in Seoul and decides to move back to her hometown Bookhyun Village. There, Hae Won meets Eun Seob who runs a bookshop named "Goodnight Bookstore." Eun Seob's daily life is simple</t>
  </si>
  <si>
    <t>#249</t>
  </si>
  <si>
    <t>Lawless Lawyer</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</si>
  <si>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fatherâ€™s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</si>
  <si>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Action, Thriller, Law, Romance</t>
  </si>
  <si>
    <t>Smart Female Lead, Strong Female Lead, Revenge, Mixed Martial Arts, Male Chases Female First, Tragic Past, Corruption, Badass Female Lead, Teamwork, Calm Female Lead</t>
  </si>
  <si>
    <t>Lee Joon Gi, Seo Yea Ji, Lee Hye Young, Choi Min Soo, Lee Ro Woon, Lee Dae Yeon</t>
  </si>
  <si>
    <t>#250</t>
  </si>
  <si>
    <t>Crazy Love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</si>
  <si>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Jinâ€™s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</si>
  <si>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Enemies To Lovers, Boss-Employee Relationship, Secretary Female Lead, Steamy Kiss, Narcissistic Male Lead, Slow Burn Romance, Love/Hate Relationship, Hardworking Female Lead, Rich Male Lead, Fake Relationship</t>
  </si>
  <si>
    <t>Kim Jae Wook, Krystal Jung, Ha Joon, Yoo In Young, Im Won Hee, Park Han Sol</t>
  </si>
  <si>
    <t>#251</t>
  </si>
  <si>
    <t>Buried Hearts</t>
  </si>
  <si>
    <t>To survive, a man hacked into a political slush fund worth 2 trillion won. The other man is a powerful shadowy figure, who loses 2 trillion won by killing the man without knowing that he was hacked. Seo Dong Ju works as a leader in the chairman's secretary office at Daesan Group. He is known as the "Daesan Man," someone who lives dies for Daesan Group's interests, but, he hides his elaborate and passionate ambitions deep within his mind. His ultimate goal is to entirely consume Daesan Group when he has the chance. Yeom Jang Seon is a law school professor and the former director of the National Intelligence Service. He is the most influential person in the South Korean political world. He even controls the kingmaker behind the scenes. Yeom Jang Seon feels the zenith of joy when he wields money and power as he pleases. He is the type of person who feels alive only when he has control over everyone like a marionette puppet.</t>
  </si>
  <si>
    <t>Thriller, Mystery, Crime, Political</t>
  </si>
  <si>
    <t>Return From Dead, Betrayed By A Significant Other, Former Prosecutor Male Lead, Emotional Infidelity, Married Female Lead, Married Male Lead, Professor Male Lead, Hacker Male Lead, Team Leader Male Lead, Company President (CEO) Supporting Character</t>
  </si>
  <si>
    <t>Park Hyung Sik, Huh Joon Ho, Lee Hae Young, Hong Hwa Yeon</t>
  </si>
  <si>
    <t>#252</t>
  </si>
  <si>
    <t>WATCHER</t>
  </si>
  <si>
    <t>After a dramatic incident 15 years ago, a senior detective, Do Chi Kwang, a former prosecutor Han Tae Joo and a young policeman, Kim Young Koon, become members of an internal affairs investigation team to uncover the truth and root out corruption and injustice from within the ranks of the police.</t>
  </si>
  <si>
    <t>Thriller, Mystery, Drama, Political</t>
  </si>
  <si>
    <t>Smart Male Lead, Smart Female Lead, Tragic Past, Corruption, Psychological, Trauma, Nice Male Lead, Badass Male Lead, Character Development, Detective Fiction</t>
  </si>
  <si>
    <t>Seo Kang Joon, Han Seok Kyu, Kim Hyun Joo, Park Joo Hee, Heo Sung Tae, Joo Jin Mo</t>
  </si>
  <si>
    <t>#253</t>
  </si>
  <si>
    <t>Five Enough</t>
  </si>
  <si>
    <t>After losing his wife five years ago, Lee Sang Ta is left with his two children. Since that time, he lives with his two kids and parents-in-law, who treat him like their own son. He works as a marketing team leader for a fashion brand and never expects to find someone who will make his heart beat again. Ahn Mi Jeong works as an assistant manager at the same fashion company. 3 years ago, her husband had an affair with her friend and left her. She couldn't tell her 3 children the truth about their father and lied that he went to work in America. To this day, the children still believe that their father is in America. She has numbed herself from the struggles of raising her children alone while working. As these two begin to find love again, a tempest is brewing as three sets of in-laws and five children learn to become one family.</t>
  </si>
  <si>
    <t>Comedy, Romance, Drama, Melodrama</t>
  </si>
  <si>
    <t>Motherhood, Strong Female Lead, Multiple Couples, Nice Male Lead, Workplace Setting, Best Friends' Relationship, Ex-spouse Relationship, Death Of A Mother, Half-brothers' Relationship, Half-sisters' Relationship</t>
  </si>
  <si>
    <t>Ahn Jae Wook, So Yoo Jin, Sung Hoon, Shin Hye Sun, Shim Hyung Tak, Shim Yi Young</t>
  </si>
  <si>
    <t>#254</t>
  </si>
  <si>
    <t>Amanza</t>
  </si>
  <si>
    <t>A 26-year-old manâ€™s life is turned upside down when he is diagnosed with terminal stomach cancer. As he struggles with the pain of his treatment and the realization that he never truly lived, he retreats into his imagination, to a magical forest where answers and miracles can be found.</t>
  </si>
  <si>
    <t>Adventure, Life, Fantasy, Melodrama</t>
  </si>
  <si>
    <t>Cancer, Dream World, Mixed Live Action-Animation, Tearjerker, Terminal Illness, Adapted From A Webtoon, Web Series, Short Length Series, Supportive Girlfriend, Mental Illness</t>
  </si>
  <si>
    <t>Kim Ji Soo, Lee Seol, Oh Hyun Kyung, Yoo Seung Mok, Lee Jong Won, Shin Joo Hwan</t>
  </si>
  <si>
    <t>#255</t>
  </si>
  <si>
    <t>Light on Me</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</si>
  <si>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schoolâ€™s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Onâ€™s close female friend â€“ who secretly loves Da On â€“ is jealous of their closeness, and attempts to drive a wedge between them!</t>
  </si>
  <si>
    <t>Romance, Youth, Drama</t>
  </si>
  <si>
    <t>Gay Romance, LGBTQ+, School, School Club, First Love, High School, Secret Crush, All-Boys School, Nice Male Lead, Love Triangle</t>
  </si>
  <si>
    <t>Lee Sae On, Kang Yoo Seok, Choe Chan Yi, Go Woo Jin, Lee Ki Hyun, Yang Seo Hyun</t>
  </si>
  <si>
    <t>#256</t>
  </si>
  <si>
    <t>Bulgasal: Immortal Souls</t>
  </si>
  <si>
    <t xml:space="preserve">The series tells the story of a man-turned-immortal, Bulgasal, who wants revenge from a woman with a mysterious past and present, who he deems responsible for his immortality and miseries from the past 600 years, hoping to free himself from his curse. </t>
  </si>
  <si>
    <t>Thriller, Mystery, Drama, Fantasy</t>
  </si>
  <si>
    <t>Curse, Reincarnation, Revenge, Immortal, Hidden Identity, Dark Fiction, Found Family, Suspense, Grudge, Death</t>
  </si>
  <si>
    <t>Lee Jin Wook, Kwon Na Ra, Lee Joon, Gong Seung Yeon, Jung Jin Young, Kim Woo Seok</t>
  </si>
  <si>
    <t>#257</t>
  </si>
  <si>
    <t>Liar Game</t>
  </si>
  <si>
    <t>Various contestants take part in a game show with a prize of 10 billion won. The contestants who can cheat the others wins the prize. Contestants include genius swindler Ha Woo Jin and naive college student Nam Da Jung.</t>
  </si>
  <si>
    <t>Naive Female Lead, Debt, Game Show, Swindler Male Lead, Genius Male Lead, Adapted From A Manga, Money-Obsession, Suspense, Nice Female Lead, Gambling</t>
  </si>
  <si>
    <t>Lee Sang Yoon, Kim So Eun, Shin Sung Rok, Cha Soo Yeon, Choi Jin Ho, Choi Yoon So</t>
  </si>
  <si>
    <t>#258</t>
  </si>
  <si>
    <t>Tree With Deep Roots</t>
  </si>
  <si>
    <t>Early in his reign, King Se Jong accidentally causes the death of his in-laws and their slaves in an attempt to save them from his brutal father, King Tae Jong. Two young slaves, Ddol Bok and his friend Dam survive but neither knows the other has. Ddol Bok blames the king and vows to kill him to avenge the deaths of everyone he loved. He spends several years becoming a great warrior. Dam, who has a photographic memory, becomes a court lady called So Yi, but she feels so guilty about her role in the other slaves' deaths that she is mute. Ddol Bok returns to the palace under the name of Kang Chae Yoon in order to kill the king. However, he becomes embroiled in the mystery surrounding the deaths of several Hall of Worthies scholars. The deaths were caused by a secret society called "Hidden Root," which was created long ago by followers of Jeong Do Jeon, with the goal of giving more power to ministers and less to the king. King Tae Jong killed Jeong Do Jeon and all of his family except his nephew, Jeong Gi Joon, who is now the leader of Hidden Root and lives in disguise not far from King Se Jong.</t>
  </si>
  <si>
    <t>Historical, Mystery, Political</t>
  </si>
  <si>
    <t>Sejong The Great, Joseon Dynasty, Sword-fight, Revenge, Murder, Martial Arts, Royalty, Secret Organization, Death, Adapted From A Novel</t>
  </si>
  <si>
    <t>Han Seok Kyu, Jang Hyuk, Shin Se Kyung, Jo Jin Woong, Park Hyuk Kwon, Hyun Woo</t>
  </si>
  <si>
    <t>#259</t>
  </si>
  <si>
    <t>49 Days</t>
  </si>
  <si>
    <t>Shin Ji Hyun was enjoying absolute bliss as she was about to marry her fiancÃ©, Kang Min Ho, but her perfect life is shattered when she gets into a car accident that leaves her in a coma. She is given a second chance at life by a person called The Scheduler, but it comes with a condition: she has to find three people outside of her family who would cry genuine tears for her. In order to do this, she borrows the body of Yi Kyung, a part-time employee at a convenience store for 49 days.</t>
  </si>
  <si>
    <t>Coma, Second Chance, Death, Car Accident, Naive Female Lead, Flashback To Past, Depression, Tragic Past, Multiple Mains, Fate</t>
  </si>
  <si>
    <t>Lee Yo Won, Nam Gyu Ri, Jung Il Woo, Jo Hyun Jae, Bae Soo Bin, Seo Ji Hye</t>
  </si>
  <si>
    <t>#260</t>
  </si>
  <si>
    <t>D-Day</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</si>
  <si>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canâ€™t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Koreaâ€™s rising doctor, but secretly, he truly cares about being a genuine doctor, saving the lives of the sick. These three characters team up to rush into emergencies, holding onto hope in the most desperate situations, and taking all sorts of risks for the sake of saving lives.</t>
  </si>
  <si>
    <t>Romance, Drama, Medical</t>
  </si>
  <si>
    <t>Disaster, Survival, Natural Disaster, Teamwork, Greed, Earthquake, Hardworking Male Lead, Secret, Corruption, Death</t>
  </si>
  <si>
    <t>Kim Young Kwang, Jung So Min, Ha Seok Jin, Lee Kyung Young, Kim Hye Eun, Yoon Joo Hee</t>
  </si>
  <si>
    <t>#261</t>
  </si>
  <si>
    <t>Awaken</t>
  </si>
  <si>
    <t>Itâ€™s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Agencyâ€™s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isnâ€™t a mystery heâ€™s allowed to solve on his own. Working alongside Jung Woo, Officer Gong Hye Won refuses to let anything stand between her and what she wants. Tenacious and hot-tempered, sheâ€™s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</si>
  <si>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Thriller, Mystery, Crime, Fantasy</t>
  </si>
  <si>
    <t>Tragic Past, Psychology, Eccentric Male Lead, Special Power, Teamwork, Child Abuse, Hot-tempered Female Lead, Trauma, Strong Male Lead, Orphan Male Lead</t>
  </si>
  <si>
    <t>Namkoong Min, Kim Seol Hyun, Lee Chung Ah, Yoon Sun Woo, Yoon Gyung Ho, Kim Tae Woo</t>
  </si>
  <si>
    <t>#262</t>
  </si>
  <si>
    <t>Oh My Venus</t>
  </si>
  <si>
    <t>Kim Yeong Ho is a personal trainer for Hollywood stars. He reluctantly comes back to Korea to face his family after a scandal with an actress. Even though he comes from a wealthy family background, he suffered a devastating injury during his childhood days. Now, he overcomes his problems with living a healthy lifestyle. Kang Joo Eun is a 33-year-old lawyer who was once the beauty of her school, nicknamed "Daegu's Venus". Over the years she has become overweight and unhealthy. She gets dumped by her boyfriend of 15 years. Kang Joo Eun meets Kim Yeong Ho, who agrees to be her personal trainer to help her get healthier. As they work on her physical transformation, they both discover they have feelings for each other. As they grow closer, they heal each other's emotional wounds and fall in love.</t>
  </si>
  <si>
    <t>Comedy, Law, Romance, Life</t>
  </si>
  <si>
    <t>Weight Loss, Makeover, Cohabitation, Body Image, Bromance, Rich Male Lead, Hidden Identity, Hardworking Male Lead, Hardworking Female Lead, Steamy Kiss</t>
  </si>
  <si>
    <t>So Ji Sub, Shin Min Ah, Jung Gyu Woon, Yoo In Young, Sung Hoon, Henry Lau</t>
  </si>
  <si>
    <t>#263</t>
  </si>
  <si>
    <t>Leverage</t>
  </si>
  <si>
    <t>Meet Lee Tae Joon a former insurance claims investigator turned scam strategist.  Backed by a group of former criminals, they aim to bring to justice fellow thieves, grifters and con-men world-wide, who, otherwise, would not get their due, through the usual legal channels. Those who hide illegal activity behind their reputations and think they are above the law, soon become the target of mastermind Lee Tae Joon and his unusual team of talented experts.</t>
  </si>
  <si>
    <t>Action, Mystery, Comedy, Crime</t>
  </si>
  <si>
    <t>Smart Male Lead, Leadership, Friendship, Street Fight, Corruption, Badass Female Lead, Slight Romance, Female Lead Action Scenes, Strong Female Lead, Nice Male Lead</t>
  </si>
  <si>
    <t>Lee Dong Gun, Jeon Hye Bin, Kim Sae Ron, Kim Kwon, Yeo Hoe Hyun, Choi Ja Hye</t>
  </si>
  <si>
    <t>#264</t>
  </si>
  <si>
    <t>The King's Affection</t>
  </si>
  <si>
    <t>The story is set during the Joseon Dynasty, at a time when twins were considered an ominous sign. As a result, when the Crown Princess Consort gives birth to twins, an order is sent to kill the daughter. To save her, she is secretly sent out of the palace. A few years later, the twin daughter Dam Yi returns to the palace to work as a maid. When the male twin, Lee Hwi, loses his life through a case of mistaken identity, their mother, having recognised her daughter as court maid Dam Yi, persuades her to take Lee Hwi's place. Although she distances herself from everybody, Dam Yi starts developing feelings for Jung Ji Woon, her original first love and later teacher who comes from a noble family.</t>
  </si>
  <si>
    <t>Historical, Romance, Drama</t>
  </si>
  <si>
    <t>Cross-Dressing, Joseon Dynasty, Hidden Identity, Cold Female Lead, Gender Bender, First Love, Royalty, Strong Female Lead, Nice Male Lead, Death</t>
  </si>
  <si>
    <t>Park Eun Bin, Rowoon, Nam Yoon Su, Choi Byung Chan, Bae Yoon Kyung, Jung Chae Yeon</t>
  </si>
  <si>
    <t>#265</t>
  </si>
  <si>
    <t>A Gentleman's Dignity</t>
  </si>
  <si>
    <t>Four men in their forties go through love, breakup, success and failure. The story includes the romantic relationship between Kim Do Jin, an architect with a scathing tongue, and strict high school teacher Seo Yi Soo, who moonlights as an umpire at amateur baseball games.</t>
  </si>
  <si>
    <t>Adult Romance, Bromance, Friendship, Age Gap [Drama Life], Age Gap [Real Life], Male Centered Plot, Dissociative Amnesia, Independent Female Lead, Mental Illness, Love At First Sight</t>
  </si>
  <si>
    <t>Jang Dong Gun, Kim Ha Neul, Kim Soo Ro, Kim Min Jong, Lee Jong Hyuk, Yoon Se Ah</t>
  </si>
  <si>
    <t>#266</t>
  </si>
  <si>
    <t>Rookie Historian Goo Hae Ryung</t>
  </si>
  <si>
    <t>The story takes place at the beginning of the 19th century. Goo Hae Ryung is an intern to become a palace historian. However, it was not acceptable for women to write historical records at that time. She takes one step at a time to create her own destiny in Joseon, where Confucian ideas are deeply rooted. She wants to fulfill her duties as a historian and prove to the world that everyone is equal. Along with the fight of the female palace historians, the drama will tell about her romance with Prince Yi Rim who has a secret of his own.</t>
  </si>
  <si>
    <t>Joseon Dynasty, Sismance, Strong Female Lead, Nice Male Lead, Hardworking Female Lead, Calm Female Lead, Power Struggle, Conspiracy, Social Problems, Hidden Past</t>
  </si>
  <si>
    <t>Shin Se Kyung, Cha Eun Woo, Lee Ji Hoon, Park Ki Woong, Lee Ye Rim, Park Ji Hyun</t>
  </si>
  <si>
    <t>#267</t>
  </si>
  <si>
    <t>Coffee Prince</t>
  </si>
  <si>
    <t>Choi Han Gyul is the grandson of chairwoman Bang of Dong-in Foods, a company that has a thriving coffee business. He has never had a job and does not care for responsibility. Han Gyul is hung up on his first love, Han Yoo Joo, who only sees him as a friend. Go Eun Chan is a 24-year-old tomboy who is often mistaken for a guy. Her father died when she was 16 years old and since then she has taken over as the breadwinner in her family. When Han Gyul and Eun Chan meet, he, not knowing that she is a girl, decides to hire her to pretend to be his gay lover so that he can escape the blind dates arranged by his grandmother. After getting an ultimatum from his grandmother, Han Gyul takes over a rundown old coffee shop, later renamed "Coffee Prince," to prove that he's capable, to both his grandmother and Yoo Joo. In order to attract female customers, he only hires good-looking male employees. Eun Chan, desperate for money, continues to hide her gender to get a job at the Coffee Prince.</t>
  </si>
  <si>
    <t>Food, Comedy, Romance, Drama</t>
  </si>
  <si>
    <t>Cross-Dressing, Hidden Identity, Boss-Employee Relationship, Hardworking Female Lead, Strong Female Lead, Bromance, Eccentric Female Lead, Love Square, Gender Bender, Family Pressure</t>
  </si>
  <si>
    <t>Gong Yoo, Yoon Eun Hye, Lee Sun Kyun, Chae Jung An, Kim Chang Wan, Kim Dong Wook</t>
  </si>
  <si>
    <t>#268</t>
  </si>
  <si>
    <t>Ghost</t>
  </si>
  <si>
    <t>Kim Woo Hyun is the only son of a high ranking police officer. Woo Hyun entered the police academy ranked first and graduated from the academy ranked first. As a detective, he then joins the cyber investigation department. Woo Hyun then works to reveal the secrets of those that hide within the cyber world.</t>
  </si>
  <si>
    <t>Thriller, Mystery</t>
  </si>
  <si>
    <t>Smart Male Lead, Hidden Identity, Murder, Investigation, Corruption, Police Department Setting, Detective Fiction, Detective Male Lead, Death, Suspense</t>
  </si>
  <si>
    <t>So Ji Sub, Lee Yun Hee, Kwak Do Won, Uhm Ki Joon, Lee Won Keun, Yoon  Ji Hye</t>
  </si>
  <si>
    <t>#269</t>
  </si>
  <si>
    <t>Love Playlist: Season 4</t>
  </si>
  <si>
    <t>The fourth season will show stories that everyone has experienced not only of love, but also enlistment, job hunting, and new human relationships.</t>
  </si>
  <si>
    <t>Romance, Life, Youth, Drama</t>
  </si>
  <si>
    <t>Multiple Mains, Web Series, Multiple Couples, Older Woman/Younger Man, Jealous Male Lead, Nice Female Lead, University, Older Man/Younger Woman, Cheerleading, Jealousy</t>
  </si>
  <si>
    <t>Lee Yoo Jin, Park Jung Woo, Park Shi An, Bae Hyun Sung, Kim Sae Ron, Kim Hyung Suk</t>
  </si>
  <si>
    <t>#270</t>
  </si>
  <si>
    <t>God's Quiz: Reboot</t>
  </si>
  <si>
    <t>This is a drama about elite doctors and forensic scientists investigating mysterious deaths and solving mysteries related to rare diseases. Han Jin Woo is the tortured medical genius with a miracle brain that has been through its share of trouble. After he gets involved in an unexpected case, he returns to the medical examiner office for the first time in 4 years.</t>
  </si>
  <si>
    <t>Mystery, Medical</t>
  </si>
  <si>
    <t>Forensic Medical Examiner Male Lead, Detective Female Lead, Investigation, Detective Fiction, Workplace Setting, Neurosurgeon Male Lead, Doctor Male Lead, Genius Male Lead, Forensic Science, Height Difference</t>
  </si>
  <si>
    <t>Ryu Deok Hwan, Yoon Joo Hee, Park  Hyo Joo, Park Joon Myun, Kim Ki Doo, Kim Jae Won</t>
  </si>
  <si>
    <t>#271</t>
  </si>
  <si>
    <t>My Dearest Nemesis</t>
  </si>
  <si>
    <t>As a high school senior, Baek Su Jeong began playing an online game where she met another player nicknamed "Black Dragon." They unexpectedly got close, developing crushes and planning a meeting in real life... that concluded in humiliation and disaster when "Black Dragon" turned out to be an awkward middle schooler instead of the young man he portrayed himself to be! Sixteen years later, Su Jeong is a skilled planner at Yongseong Department Store, but her job is about to get a shakeup with the arrival of Ban Ju Yeon, the ambitious new head of strategic planning and heir to the company. There's just one problem: Ban Ju Yeon is actually "Black Dragon," and Su Jeong still holds a grudge. Will their past come back to haunt them, or can they find a way to resolve their misunderstandings â€“ and even find love as adults?</t>
  </si>
  <si>
    <t>Comedy, Romance</t>
  </si>
  <si>
    <t xml:space="preserve">Meet Again, Student Male Lead, Co-workers' Relationship, Otaku Male Lead, Workplace Setting, Office Setting, Heir Male Lead, Team Leader Female Lead, Age Gap [Real Life], Online Gamer Male Lead </t>
  </si>
  <si>
    <t>Mun Ka Young, Choi Hyun Wook, Im Se Mi, Kwak Shi Yang</t>
  </si>
  <si>
    <t>#272</t>
  </si>
  <si>
    <t>Missing Noir M</t>
  </si>
  <si>
    <t>Gil Su Hyeon is extremely intelligent. At the age of 10, he attended Harvard University and after graduating, he went to work at the FBI. 10 years later, he decided to come back to South Korea. He now works as the leader of the Special Missing Persons Unit. The unit deals with about 1% of special missing cases involving violent crimes. His appearance borders on perfection, but he holds a secret. Detective Oh Dae Yeong joins the Special Missing Persons Unit. He has worked as a detective for 20 years and he has an obsession in observing the law. He is known as a master of missing person cases.</t>
  </si>
  <si>
    <t>Smart Male Lead, Investigation, Suspense, Calm Male Lead, Revenge, Murder, Suicide, Child Prodigy Male Lead, Involuntarily Missing Person, Hacker Female Lead</t>
  </si>
  <si>
    <t>Kim Kang Woo, Park Hee Soon, Jo Bo Ah, Kim  Gyu Chul, Park So Hyun, Oh Soon Tae</t>
  </si>
  <si>
    <t>#273</t>
  </si>
  <si>
    <t>Live Up to Your Name</t>
  </si>
  <si>
    <t>Heo Im, who is born in a concubine family in the Joseon era and has very outstanding medical skills, is frustrated about his career as he fails to climb to higher positions in the government because of his background. By accident, he travels through time to modern Seoul 400 years later and meets modern doctor Yeon Gyung. Thinking that Heo Im is weird, she hopes to get rid of Heo Im but instead, they travel back to Joseon together again.</t>
  </si>
  <si>
    <t>Historical, Romance, Medical, Fantasy</t>
  </si>
  <si>
    <t>Time Travel, Joseon Dynasty, Acupuncture, Strong Female Lead, Character Development, Trauma, Eccentric Male Lead, Tragic Past, Doctor Female Lead, Doctor Male Lead</t>
  </si>
  <si>
    <t>Kim Nam Gil, Kim Ah Joong, Yoo Min Kyu, Moon Ga Young, Yoon Joo Sang, Uhm Hyo Sub</t>
  </si>
  <si>
    <t>#274</t>
  </si>
  <si>
    <t>Queen for Seven Days</t>
  </si>
  <si>
    <t>This drama is about the love story between King Jung Jong and his Queen Dan Kyung, who was crowned and deposed within the span of a week due to rival political factions that controlled the kingâ€™s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</si>
  <si>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Joseon Dynasty, Sibling Rivalry, Lying, Revenge, First Love, Strong Female Lead, Love Triangle, Royalty, Jealousy, Drama</t>
  </si>
  <si>
    <t>Park Min Young, Yeon Woo Jin, Lee Dong Gun, Jang Hyun Sung, Kang Shin Il, Go Bo Gyeol</t>
  </si>
  <si>
    <t>#275</t>
  </si>
  <si>
    <t>Memory</t>
  </si>
  <si>
    <t>Park Tae Suk is a lawyer who finds out that he has Alzheimerâ€™s and puts his life on the line to fight one last case. The drama depicts his vigorous efforts trying to protect the precious value of the life and family love, while his memory starts fading away.</t>
  </si>
  <si>
    <t>Law, Romance, Life, Drama</t>
  </si>
  <si>
    <t>Alzheimer's Disease, Teamwork, Bromance, Mother-Son Relationship, Father-Son Relationship, Co-workers' Relationship, Workplace Setting, Ex-spouse Relationship, Vice President Supporting Character, Judge Supporting Character</t>
  </si>
  <si>
    <t>Lee Sung Min, Kim Jee Soo, Park Jin Hee, Lee Jun Ho, Jeon Noh Min, Yoon So Hee</t>
  </si>
  <si>
    <t>#276</t>
  </si>
  <si>
    <t>A Korean Odyssey</t>
  </si>
  <si>
    <t>In 2017, Son Oh Gong and Ma Wang are in conflict with each other as they look for a true light in a dark world where evil thrives. Having made a contract with Seon Mi 25 years ago, entitling her to seek help from Son Oh Gong whenever she calls him in exchange for letting him free, the two meet again in a fateful encounter. From there, Son Oh Gong is bound to his protective role towards Seon Mi, the little girl he had met years ago.</t>
  </si>
  <si>
    <t>Horror, Comedy, Romance, Fantasy</t>
  </si>
  <si>
    <t>Ghost-seeing Female Lead, Special Power, Supernatural Power, Demon, Steamy Kiss, Aggressive Male Lead, Ghost, Tough Male Lead, Love/Hate Relationship, Bromance</t>
  </si>
  <si>
    <t>Lee Seung Gi, Cha Seung Won, Oh Yeon Seo, Lee Hong Ki, Jang Gwang, Lee El</t>
  </si>
  <si>
    <t>#277</t>
  </si>
  <si>
    <t>Voice 4: Judgment Hour</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</si>
  <si>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doesnâ€™t allow mistakes, is a team leader from the LAPD (Los Angeles Police Department)</t>
  </si>
  <si>
    <t>#278</t>
  </si>
  <si>
    <t xml:space="preserve">Wonderful World </t>
  </si>
  <si>
    <t>Psychology professor and famous author Eun Soo Hyun's life unravels when her son falls victim to an injustice that goes unpunished by the legal system. Having lost faith in the world, she decides to take matters into her own hands, seeking retribution for her son's death. Amidst her anguish, Eun Soo Hyun unexpectedly finds solace in assisting others entangled in mysterious cases akin to her own.</t>
  </si>
  <si>
    <t xml:space="preserve">News Presenter Male Lead, Healing, Death, Revenge, Suspense, Older Woman/Younger Man, Difficult Adulthood, Student Male Lead, Dropout Male Lead, Ex-Convict Female Lead </t>
  </si>
  <si>
    <t>Kim Nam Joo, Cha Eun Woo, Kim Kang Woo, Im Se Mi</t>
  </si>
  <si>
    <t>#279</t>
  </si>
  <si>
    <t>Divorce Attorney Shin</t>
  </si>
  <si>
    <t>Meet Shin Sung Han, a divorce lawyer with a talent for settling even the most complicated cases. His name, which amusingly means "sacred" in Korean, seems at odds with the messy situations he has to deal with on a daily basis. But Shin Sung Han finds solace in the company of his two closest friends, Jang Hyung Geun and Jo Jung Sik, who are fellow "40-year-old youths." Despite the challenges he faces with his clients, Shin Sung Han continues to excel in his field with his expertise and sensitivity.</t>
  </si>
  <si>
    <t>Adapted From A Webtoon, Best Friends' Relationship, Lawyer Male</t>
  </si>
  <si>
    <t>Cho Seung Woo, Han Hye Jin, Kim Sung Kyun, Jung Moon Sung</t>
  </si>
  <si>
    <t>#280</t>
  </si>
  <si>
    <t>The Auditors</t>
  </si>
  <si>
    <t>Shin Cha Il, the sharp and distrustful leader of JU Constructionâ€™s audit team, tackles rampant corruption. Rookie Gu Han Soo joins the team, hoping for a transfer to Florida, but finds himself challenged by Shin Cha Il. Despite their differences, he grows under his bossâ€™s strict guidance. Meanwhile, ambitious vice president Hwang Dae Woong, the founderâ€™s third son, schemes to outmaneuver his brothers for the companyâ€™s presidency. Rookie auditor Yoon Seo Jin, an individualist striving for success, shares a hidden past with Hwang Dae Woong but keeps their connection secret at work.</t>
  </si>
  <si>
    <t>Auditor Supporting Character, Auditor Female Lead, Auditor Male Lead, Audit, Assistant Manager Supporting Character, Co-workers' Relationship, Workplace Setting, Workplace Politics, Office Setting, Senior-Junior Relationship</t>
  </si>
  <si>
    <t>Shin Ha Kyun, Lee Jung Ha, Jin Goo, Jo A Ram, Jung Moon Sung</t>
  </si>
  <si>
    <t>#281</t>
  </si>
  <si>
    <t>Call It Love</t>
  </si>
  <si>
    <t>Life's difficulties can take a toll on anyone, and this romantic melodrama portrays the story of a man and woman who are deeply affected. Through their growing empathy and understanding of each other, they embark on a transformative journey filled with new emotions. Sim U Ju's life takes a turn for the worse after her father's death when she's forced out of her home by his mistress. Seeking revenge, she approaches Han Dong Jin, the son of her father's ex-lover. As she spends more time with him, she realizes that she's fallen in love. Han Dong Jin, a workaholic with a lonely life, finds his world turned upside down by Sim U Ju's arrival.</t>
  </si>
  <si>
    <t xml:space="preserve">Slow Burn Romance, Loneliness, Lonely Male Lead, Slow Burn Story, Family Relationship, Healing, Protective Female Lead, Enemies To Lovers, Trauma, Long Time Friends </t>
  </si>
  <si>
    <t>Lee Sung Kyung, Sung Joon, Ahn Hee Yeon, Kim Ye Won, Kim Young Kwang</t>
  </si>
  <si>
    <t>#282</t>
  </si>
  <si>
    <t>Crash Course in Romance</t>
  </si>
  <si>
    <t>After retiring from her career as a national athlete, Nam Haeng Sun now owns a humble side dish store. Her cheerful personality and boundless energy catch the attention of Choi Chi Yeol, a popular and hardworking private instructor known as the "Trillion Won Man". Despite his reputation, Choi Chi Yeol has become increasingly aloof and irritable due to his growing success.However, their relationship is not without challenges. As they navigate the ups and downs of their personal and professional lives, they must learn to confront their own shortcomings and trust in each other's strengths. Will their love be enough to overcome the obstacles in their path?</t>
  </si>
  <si>
    <t>Thriller, Mystery, Comedy, Romance</t>
  </si>
  <si>
    <t>Older Woman/Younger Man, Teacher Male Lead, Cram School, Smart Male Lead, Workaholic Male Lead, High School, Aspergerâ€™s Syndrome, Hardworking Male Lead, Mental Illness, Age Gap [Real Life]</t>
  </si>
  <si>
    <t>Jeon Do Yeon, Jung Kyung Ho</t>
  </si>
  <si>
    <t>#283</t>
  </si>
  <si>
    <t xml:space="preserve">One Day Off </t>
  </si>
  <si>
    <t>Park Ha Gyeong teaches Korean literature at a high school. To escape her ordinary days, Park Ha Gyeong decides to take one-day trips on Saturdays. During her one-day trip, she walks around, eats different foods, and meets various people. She realizes she receives comfort and empathy through her travels.</t>
  </si>
  <si>
    <t>Food, Life, Drama</t>
  </si>
  <si>
    <t>Teacher Female Lead, Independent Female Lead, Traveling, Life Lesson, Friendship, Smart Female Lead, Healing, Miniseries, Web Series</t>
  </si>
  <si>
    <t>Lee Na Young</t>
  </si>
  <si>
    <t>#284</t>
  </si>
  <si>
    <t>My Sweet Mobster</t>
  </si>
  <si>
    <t>Seo Ji Hwan, once a legend of the underworld, is CEO of a food company that offers a fresh start to ex-convicts. His gangland past, though, has a tendency to follow him even after retirement. His personal history is murky and he has no known vices. Go Eun Ha, known as "Sister Mini" to her web channel's mini audience, is a popular but struggling children's entertainer. She does her best to make children happy with no strings attached. Eun Ha's show is inspired by memories of her childhood companion, Hyeon U. After a series of embarrassing, comical, and painful misunderstandings Ji Hwan and Eun Ha begin to get to know and understand each other. Jang Hyeon U has fulfilled his ambition of becoming a prosecutor but is also a grown-up fan of Sister Mini. He is suspicious of Ji Hwan's past and actions and is uneasy about Eun Ha's relationship with him. The three cross paths as they pursue the truth about a missing ex-con and encounter Ji Hwan's rival gang.</t>
  </si>
  <si>
    <t xml:space="preserve">Opposites Attract, Former Gangster Male Lead, YouTuber Female Lead, Company President (CEO) Male Lead, Ex-Convict Male Lead, Age Gap [Drama Life], Age Gap [Real Life], Nice Female Lead, Second Chance, Childhood Connection </t>
  </si>
  <si>
    <t>Uhm Tae Goo, Han Sun Hwa, Kwon Yul</t>
  </si>
  <si>
    <t>#285</t>
  </si>
  <si>
    <t>Queenmaker</t>
  </si>
  <si>
    <t>After a tragic accident, a skilled fixer, Hwang Do Hee, uses her expertise to turn civil rights lawyer Oh Kyung Sook into the next mayor of Seoul and take down her former employer. Hwang is a top consultant at Eunsung Group, using her knowledge of the ownerâ€™s family to manage risks, while Oh is a determined labor rights lawyer and popular YouTuber. Despite their different backgrounds, the two women join forces to create a just and truthful world.</t>
  </si>
  <si>
    <t>Business, Drama, Political</t>
  </si>
  <si>
    <t>Female Centered Plot, Fight For Justice, Conglomerate, Power Struggle, Businesswoman Female Lead, Influencer Female Lead, Politician Female Lead, Foundation Director Female Lead, Lawyer Female Lead, Determined Female Lead</t>
  </si>
  <si>
    <t>Kim Hee Ae, Moon So Ri, Ryu Soo Young</t>
  </si>
  <si>
    <t>#286</t>
  </si>
  <si>
    <t>King the Land</t>
  </si>
  <si>
    <t>8.2</t>
  </si>
  <si>
    <t>Heir Goo Won, known for his brilliance and charm, despises fake smiles but is captivated by Cheon Sa Rangâ€™s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</si>
  <si>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 xml:space="preserve">Hotel Setting, Male Chases Female First, Best Friends' Relationship, Hardworking Female Lead, Workplace Setting, Rich Male Lead, Secondary Couple, Opposites Attract, Sibling Rivalry, Hotel Management </t>
  </si>
  <si>
    <t>Lee Jun Ho, Im Yoon Ah</t>
  </si>
  <si>
    <t>#287</t>
  </si>
  <si>
    <t>Celebrity</t>
  </si>
  <si>
    <t>Fame. Money. Power. One young woman fights to become the next hottest celebrity in the glamorous yet scandalous world of influencers in Seoul.</t>
  </si>
  <si>
    <t>Social Media, Slight Romance, Rich Male Lead, Influencer Female Lead, Famous Female Lead, Secret, Suspense, Revenge, Influencer Supporting Character, Nonlinear Narrative</t>
  </si>
  <si>
    <t>Park Gyu Young, Kang Min Hyuk, Lee Chung Ah, Lee Dong Gun, Jeon Hyo Sung</t>
  </si>
  <si>
    <t>#288</t>
  </si>
  <si>
    <t>Agency</t>
  </si>
  <si>
    <t>An office drama depicting a woman who became the first female executive in her group to make her career beyond her first to the highest position. In the background of an advertising agency, it contains realistic stories of the daily lives of those who live a life like war and behind the scenes in the industry.</t>
  </si>
  <si>
    <t>Business, Life, Drama</t>
  </si>
  <si>
    <t xml:space="preserve">Workplace Setting, Office Setting, Teamwork, Hardworking Female Lead, Mental Illness, Cold Female Lead, Successful Female Lead, Orphan Female Lead, Office Worker Female Lead, Gender Inequality </t>
  </si>
  <si>
    <t>Lee Bo Young, Jo Sung Ha, Son Na Eun, Han Joon Woo</t>
  </si>
  <si>
    <t>#289</t>
  </si>
  <si>
    <t xml:space="preserve">Crash </t>
  </si>
  <si>
    <t>8.1</t>
  </si>
  <si>
    <t>It depicts the story of the Traffic Crime Investigation Team (TCI), which tracks only car crimes such as insurance fraud, retaliatory driving, self-harm blackmail, leka, call jump, and autonomous driving. Cha Yeon Ho, a rational individualist from KAIST, and Min So Hee, a traffic investigation ace with cool judgment and warm sensitivity, track unusual traffic crime cases with the traffic crime investigation team to uncover the truth behind them.</t>
  </si>
  <si>
    <t xml:space="preserve">Police Department Setting, Investigation, Teamwork, Teammates' Relationship, Co-workers' Relationship, Martial Artist Female Lead, Analyst Male Lead, Police Inspector Supporting Character, Senior-Junior Relationship, Chief Of Police Supporting Character </t>
  </si>
  <si>
    <t>Lee Min Ki, Kwak Sun Young, Heo Sung Tae</t>
  </si>
  <si>
    <t>#290</t>
  </si>
  <si>
    <t>The Queen Who Crowns</t>
  </si>
  <si>
    <t>Queen Won Gyeong, born to Min Je in the Goryeo period, comes from a prestigious family of high-ranking officials. She marries Yi Bang Won (Prince Jeong An), son of King Tae Jo, founder of the Joseon dynasty. When King Tae Jo names his second son, Yi Bang Gwa, as the successor, Lady Min and her husband plot to make Yi Bang Won the next king. After Yi Bang Won becomes King Tae Jong, he takes multiple concubines, causing tension with Queen Won Gyeong. As her relationship with the king worsens, King Tae Jong seeks to control her and her family to strengthen his authority.</t>
  </si>
  <si>
    <t xml:space="preserve">Palace Setting, King Male Lead, Queen Female Lead, Taejong, Inferiority Complex, Royalty, Joseon Dynasty, Based On A True Story, Married Female Lead, Married Male Lead </t>
  </si>
  <si>
    <t>Lee Hyun Wook, Lee Yi Dam, Lee Shi Ah, Cha Joo Young</t>
  </si>
  <si>
    <t>#291</t>
  </si>
  <si>
    <t>Miss Night and Day</t>
  </si>
  <si>
    <t>Lee Mi Jin is a job-seeker who has been exhausted from working various part-time jobs and preparing for a job for a long time. One day, due to an incident, she ages into her 50s, causing her to live as a 50-year-old by day and rejuvenate into her 20s by night. She is undeterred by this absurd tragedy and uses it as an opportunity to knock on the door of a job. With her wealth of experience from years of job hunting in her 20s and her seasoned 50s, she succeeds in landing the job she's always wanted. Meanwhile, Gye Ji Woong, a sensitive and cranky perfectionist prosecutor, finds himself unwillingly involved with Lee Mi Jin day and night...</t>
  </si>
  <si>
    <t xml:space="preserve">Double Identity, Investigation, Prosecutor Male Lead, Intern Female Lead, Unemployed Female Lead, Job Seeking, Father-Daughter Relationship, Mistaken Identity, Student Female Lead, Part-time Worker Female Lead </t>
  </si>
  <si>
    <t>Jung Eun Ji, Choi Jin Hyuk, Baek Seo Hoo, Lee Jung Eun</t>
  </si>
  <si>
    <t>#292</t>
  </si>
  <si>
    <t>Our Blooming Youth</t>
  </si>
  <si>
    <t>Min Jae I, a gentle and poised daughter of a prominent family, is engaged to the son of a powerful State Councillor. Devoting herself to learning everything she needs to know to become a good wife and mother, Jae I dutifully prepares for the future. Sadly, destiny has other plans for her future. Just days before her wedding, tragedy strikes when her family is brutally murdered, and Jae I is falsely accused of the crime. Amidst the turmoil, she crosses paths with the cursed crown prince, Yi Hwan, who agrees to help her in exchange for her assistance in breaking his curse. As they navigate their challenges together, Jae I and Yi Hwan begin to develop unexpected feelings for each other. But their love faces countless obstacles, including their pasts, their uncertain futures, and the threat of the curse. Can they overcome these challenges and find a way to be together?</t>
  </si>
  <si>
    <t>Historical, Mystery, Romance, Drama</t>
  </si>
  <si>
    <t xml:space="preserve">Prince Male Lead, Wrongfully Accused, Investigation, Cross-Dressing, Slow Burn Romance, Star Crossed Lovers, Slight Comedy, Slow Burn Story, Bantering Relationship, Curse </t>
  </si>
  <si>
    <t>Heo Won Seo, Lee Tae Sun, Yoon Jong Seok, Pyo Ye Jin, Jeon So Nee, Park Hyung Sik</t>
  </si>
  <si>
    <t>#293</t>
  </si>
  <si>
    <t>True to Love</t>
  </si>
  <si>
    <t>The series follows the romantic journey of Yeon Bo Ra, a celebrated love coach and successful author of romance novels, and Lee Soo Hyuk, a charming man who grapples with matters of the heart. As a discerning publishing planner, Soo Hyuk is not easily impressed and initially has a negative impression of Bo Ra. However, their lives become entangled unexpectedly, and he becomes increasingly drawn to her. Meanwhile, Han Sang Jin, Soo Hyuk's friend and business associate, heads the Jinri book publishing company.</t>
  </si>
  <si>
    <t xml:space="preserve">Heartbreak, Love/Hate Relationship, Nice Male Lead, Best Friends' Relationship, Multiple Couples, Enemies To Lovers, Writer Female Lead, Inner Monologue, Jealousy, Sibling Rivalry </t>
  </si>
  <si>
    <t>Yoo In Na, Yoon Hyun Min, Joo Sang Wook, Hwang Chan Sung</t>
  </si>
  <si>
    <t>#294</t>
  </si>
  <si>
    <t>Doctor Cha</t>
  </si>
  <si>
    <t>Cha Jung Sook is married to Seo In Ho, who works as a chief surgeon at a university hospital. He has a strict, sensitive, and thoroughgoing personality. Cha Jung Sook has been a full-time housewife for 20 years, giving up her career as a doctor during her medical resident years. After all those years, she decides to restart her medical resident course.</t>
  </si>
  <si>
    <t>Comedy, Life, Drama, Medical</t>
  </si>
  <si>
    <t>Starting Over, Hospital Setting, Rivals To Enemies, Unhealthy Mains' Relationship, Extramarital Affair, Loveless Marriage, Family Relationship, Second Chance, Mean Male Lead, Rivalry</t>
  </si>
  <si>
    <t>Uhm Jung Hwa, Kim Byung Chul, Myung Se Bin, Min Woo Hyuk</t>
  </si>
  <si>
    <t>#295</t>
  </si>
  <si>
    <t xml:space="preserve">The Secret Romantic Guesthouse </t>
  </si>
  <si>
    <t>Yoon Dan Oh had enjoyed a comfortable life as the beloved youngest daughter of a well-off family, but no longer. Now the family breadwinner, she runs the Ihwawon Inn. Current guests are scholars taking the civil service entrance exam in the hopes of becoming high-ranking officials. Among them are Kang San, Kim Si Yeol, and Jeong Yoo Ha, who all have deep secrets. They and Yoon Dan Oh will share information and cooperate to find Lee Seol, who disappeared 13 years ago.</t>
  </si>
  <si>
    <t xml:space="preserve">Hidden Identity, Joseon Dynasty, Teamwork, Friendship, Investigation, Childhood Connection, Secret, Boarding House Setting, Debt Passed To Children, Scholar Male Lead </t>
  </si>
  <si>
    <t>Shin Ye Eun, Ryeoun, Kang Hoon, Jung Gun Joo</t>
  </si>
  <si>
    <t>#296</t>
  </si>
  <si>
    <t xml:space="preserve">Unmasked </t>
  </si>
  <si>
    <t>A comedy-drama that tells the story of an investigative reporting crew centered on the team leader, Trigger, who is full of a sense of justice, and the PD, a fierce individualist who uncovers the truth behind mysterious events and saves a program that is on the verge of being abolished.</t>
  </si>
  <si>
    <t>Thriller, Mystery, Comedy, Drama</t>
  </si>
  <si>
    <t xml:space="preserve">Broadcasting Industry, Workplace Setting, Workplace Politics, Producer Male Lead, Cold Case, Journalist Female Lead, Reporter Female Lead, Office Rivals, Brave Female Lead, Stalking </t>
  </si>
  <si>
    <t>Kim Hye Soo, Jung Sung Il, Joo Jong Hyuk, Shin Jung Keun</t>
  </si>
  <si>
    <t>#297</t>
  </si>
  <si>
    <t xml:space="preserve">The Whirlwind </t>
  </si>
  <si>
    <t>Park Dong Ho is the prime minister of South Korea. He wants to punish the corrupt president, who colludes with powerful family owned corporations called chaebols, and change the world of politics. Jung Soo Jin is the deputy prime minister for economic affairs. She confronts Park Dong Ho and a fierce political strife ensues.</t>
  </si>
  <si>
    <t>Political Intrigue, Power Struggle, Corruption, Suspense, Prime Minister Male Lead</t>
  </si>
  <si>
    <t>Kim Hee Ae, Sul Kyung Gu</t>
  </si>
  <si>
    <t>#298</t>
  </si>
  <si>
    <t>The Midnight Studio</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</si>
  <si>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familyâ€™s legacy comes with a dark fateâ€”none have lived beyond their 35th birthday. Ki Jooâ€™s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</si>
  <si>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Romance, Drama, Fantasy</t>
  </si>
  <si>
    <t xml:space="preserve">Supernatural, Curse, Photographer Male Lead, Lawyer Female Lead, Ghost-seeing Male Lead, Lonely Male Lead, Passionate Female Lead, Affectionate Mains' Relationship, Ghost-seeing Female Lead, Bickering Mains' Relationship </t>
  </si>
  <si>
    <t>Joo Won, Kwon Na Ra, Yoo In Soo, Eum Moon Suk</t>
  </si>
  <si>
    <t>#299</t>
  </si>
  <si>
    <t>Blood Free</t>
  </si>
  <si>
    <t>Ending millions of years of humans eating animal meat, BF now dominates the genetically engineered cultured meat market. There are people inside BF and outsiders who begin to have doubts about the path taken by BF CEO Yun Ja Yu. Yun Ja Yu founded BF with On San, who has a Ph.D. in physiology. Meanwhile, after graduating from the Naval Academy, Woo Chae Un served in the army, but he now works as a bodyguard.</t>
  </si>
  <si>
    <t>Thriller, Drama, Sci-Fi</t>
  </si>
  <si>
    <t xml:space="preserve">Biotechnology, Food Industry, Artificial Intelligence, Genetic Engineering, Experiment, Rich Female Lead, Bodyguard Supporting Character, Bodyguard Male Lead, Company President (CEO) Female Lead, Multiple Mains </t>
  </si>
  <si>
    <t>Ju Ji Hoon, Han Hyo Joo, Lee Hee Joon, Lee Moo Saeng, Park Ji Yeon</t>
  </si>
  <si>
    <t>#300</t>
  </si>
  <si>
    <t>Missing Crown Prince</t>
  </si>
  <si>
    <t>A Joseon-era version of a romantic comedy about a crown prince who is mistakenly kidnapped by the family of the woman who he has been pledged to marry. While on the run for their lives, romance blossoms between the two.</t>
  </si>
  <si>
    <t>Historical, Comedy, Romance, Political</t>
  </si>
  <si>
    <t xml:space="preserve">Age Gap [Real Life], Responsible Male Lead, Slight Mystery, Protective Male Lead, Warm Male Lead, Strangers To Lovers, Loyal Friend, Brothers Love Same Woman, Long Time Crush, Physically Strong Male Lead </t>
  </si>
  <si>
    <t>Suho, Hong Ye Ji, Myung Se Bin, Kim Min Kyu, Kim Joo Heon</t>
  </si>
  <si>
    <t>#301</t>
  </si>
  <si>
    <t>Brain Works</t>
  </si>
  <si>
    <t>Sin Ha Ru works as a neuroscientist. He comes from a family that has had doctors for 3 generations and he is wealthy from inherited property. Sin Ha Ru is a confident person who acts and speaks according to his convictions, but he has no mercy for people he views as scum.Geum Myeong Se works as a detective. He acts and speaks surly around people, which causes people unfamiliar with him to assume he might be a corrupt cop. In reality, Geum Myeong Se is a kind and righteous detective. He was also once married to Kim Mo Ran. She has a particularly strong libido.Sin Ha Ru and Geum Myeong Se solve criminal cases together with the help of hypnotic investigator Seol So Jeong.</t>
  </si>
  <si>
    <t>Mystery, Comedy</t>
  </si>
  <si>
    <t>Crime Solving Duo, Polar Opposites, Teamwork, Aggressive Male Lead, Investigation, Smart Male Lead, Murder, Rich Male Lead, Psychology, Chronic Illness</t>
  </si>
  <si>
    <t>Ye Ji Won, Kwak Sun Young, Cha Tae Hyun, Jung Yong Hwa</t>
  </si>
  <si>
    <t>#302</t>
  </si>
  <si>
    <t>Captivating the King</t>
  </si>
  <si>
    <t>7.9</t>
  </si>
  <si>
    <t>Prince Yi In, held hostage by the Qing Dynasty, is betrayed by his brother, King Yi Seon, who once cherished him. Heartbroken, Yi In endures emotional torment. He encounters an enigmatic baduk player and becomes captivated by her. Eventually, Yi In ascends to the throne but remains emotionally weak. Kang Hui Su, a rising baduk star, falls for him but becomes a spy, seeking revenge against the king.</t>
  </si>
  <si>
    <t>Political Intrigue, Hidden Identity, Palace Setting, Joseon Dynasty, Go Game, Revenge, Double Identity, Espionage, Power Struggle, Mystery</t>
  </si>
  <si>
    <t>Jo Jung Suk, Shin Sae Kyeong, Lee Shin Young</t>
  </si>
  <si>
    <t>#303</t>
  </si>
  <si>
    <t>For Eagle Brothers</t>
  </si>
  <si>
    <t>Ma Gwang Suk works as a section chief at the Shiwan Post Office. She is 45 years old and single. She meets O Jang Su, who is CEO of Eagle Brewery, and they decide to get married. But, only 10 days after their marriage, O Jang Su gets into an accident and dies. Ma Gwang Suk takes over the brewery and becomes the breadwinner for her 4 younger brothers-in-law. She has a cheerful and lively personality, which helps her persevere. Han Dong Seok is the chairman of LX Hotel. He was born into a wealthy family and has never lacked anything, but having lost his wife 15 years ago, he lives his life in loneliness. He is also arrogant and has a clear opinion on what he thinks is right or wrong. He meets Ma Gwang Suk.</t>
  </si>
  <si>
    <t>Comedy, Romance, Family</t>
  </si>
  <si>
    <t xml:space="preserve">Supportive In-Law, Chairman Male Lead, Widow Female Lead, Widower Male Lead, Single Father Male Lead, Successful Male Lead, Smart Male Lead, Death, Family Secret, Multiple Couples </t>
  </si>
  <si>
    <t>Uhm Ji Won, Ahn Jae Wook, Choi Dae Chul, Kim Dong Wan, Yoon Park, Lee Seok Gi</t>
  </si>
  <si>
    <t>#304</t>
  </si>
  <si>
    <t xml:space="preserve">Battle for Happiness </t>
  </si>
  <si>
    <t>A suspense drama depicting mothers engaged in a fierce social media battle to destroy each others' happiness for their own, to free themselves from oppression, hurt, and secrets, and regain their true selves.</t>
  </si>
  <si>
    <t>Female Centered Plot, Office Worker Supporting Character, Office Worker Female Lead, Child Supporting Character, Teacher Supporting Character, Attorney Supporting Character, Doctor Supporting Character, Hatred, Flashback To Past, Social Media (</t>
  </si>
  <si>
    <t>Park Hyo Joo, Lee El, Jin Seo Yun, Cha Ye Ryun</t>
  </si>
  <si>
    <t>#305</t>
  </si>
  <si>
    <t>Joseon Attorney: A Morality</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</si>
  <si>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Kangâ€™s growth both professionally and personally.</t>
  </si>
  <si>
    <t>Historical, Law, Romance, Drama</t>
  </si>
  <si>
    <t>Joseon Dynasty, Revenge, Adapted From A Webtoon, Princess Female Lead, Injustice, Lawyer Male Lead, Historical Fiction, Orphan Male Lead, Double Identity, Character Development</t>
  </si>
  <si>
    <t>Woo Do Hwan, Bona, Cha Hak Yeon</t>
  </si>
  <si>
    <t>#306</t>
  </si>
  <si>
    <t>Delightfully Deceitful</t>
  </si>
  <si>
    <t>7.8</t>
  </si>
  <si>
    <t>Clever con artist Lee Ro Um suffers from a distinct lack of empathy. One day, she is falsely implicated on charges of killing her estranged parents. She is exonerated after 10 years with the help of a passionate, highly empathetic lawyer, Han Moo Young. The two come to form an unlikely alliance to fight against wrongdoers and exact revenge on them.</t>
  </si>
  <si>
    <t>Comedy, Crime, Drama</t>
  </si>
  <si>
    <t xml:space="preserve">Revenge, Polar Opposites, Trauma, Swindler Female Lead, Teamwork, Smart Female Lead, Fraud, Breaking The Fourth Wall, Nice Male Lead, Lawyer Male Lead </t>
  </si>
  <si>
    <t>Chun Woo Hee, Kim Dong Wook, Yoon Park, Park So Jin</t>
  </si>
  <si>
    <t>#307</t>
  </si>
  <si>
    <t>A Killer Paradox</t>
  </si>
  <si>
    <t>The story follows Lee Tang, an ordinary college student, who gets into an argument with a customer during a part-time job at a convenience store at night, unconsciously swings a hammer, and kills him. Suffering from guilt and fear of murder, Lee Tang learns one day that the person he killed was a serial killer and slowly realizes that he has a supernatural ability to identify "bad seeds". He soon becomes a dark hero who punishes people who committed unethical evils in the past.</t>
  </si>
  <si>
    <t>Thriller, Mystery, Psychological, Comedy</t>
  </si>
  <si>
    <t xml:space="preserve">Black Comedy, Sexual Content, Morally Ambiguous Male Lead, Detective Male Lead, Dark Fiction, Nudity, Adapted From A Webtoon, Dog, Violence, Investigation </t>
  </si>
  <si>
    <t>Choi Woo Shik, Son Suk Ku, Lee Hee Joon</t>
  </si>
  <si>
    <t>#308</t>
  </si>
  <si>
    <t xml:space="preserve">Numbers </t>
  </si>
  <si>
    <t>Ho Woo is the first and only high school graduate accountant to join the top accounting firm in the country. With his outstanding memory, observation, adaptation, and sense of justice that ordinary accountants rarely have, he is more than a perfect employee. Je Kyun and Seung Jo are father and son, and Je Kyun is the Vice President of the accounting firm. Despite the fact that he is well-known for his generous personality, he is a man who does not hesitate to get what he wants. Seung Jo is the ace accountant of the firm who's quite the opposite of Ho Woo. These two work together with numbers to achieve their own goals. Their goals are different, but they are headed towards the same target. Will they be able to serve justice in this accounting firm?</t>
  </si>
  <si>
    <t xml:space="preserve">Accountant Male Lead, Corruption, Smart Male Lead, Workplace Setting, Office Setting, Bromance, Workplace Politics, Injustice, Revenge, High School To Working Life </t>
  </si>
  <si>
    <t>L, Choi Jin Hyuk, Choi Min Soo, Yeon Woo, Kim Yoo Ri</t>
  </si>
  <si>
    <t>#309</t>
  </si>
  <si>
    <t>Delivery Man</t>
  </si>
  <si>
    <t>Seo Young Min is a taxi driver who ends up with an unusual clientele - ghosts. Strangely, he finds himself exclusively ferrying these otherworldly passengers and granting their wishes. One day, Kang Ji Hyun boards Seo Young Min's taxi, but with a catch: she has no recollection of her past life and is unable to leave the vehicle. She takes it upon herself to become Seo Young Min's taxi's sales manager. Together, Seo Young Min and Kang Ji Hyun use the taxi to fulfill the wishes of various ghosts, even taking on the task of tracking down a serial killer. With the assistance of Do Kyu Jin, a handsome and diligent ER doctor, they try to prevent sinister events from occurring in the hospital.</t>
  </si>
  <si>
    <t>Mystery, Comedy, Romance, Supernatural</t>
  </si>
  <si>
    <t>Taxi Setting, Taxi Driver Male Lead, Ghost Female Lead, Ghost, Older Woman/Younger Man, Death, Ghost-seeing Male Lead, Amnesia, Investigation, Death Of A Mother</t>
  </si>
  <si>
    <t>Yoon Chan Young, Bang Min Ah, Kim Min Seok</t>
  </si>
  <si>
    <t>#310</t>
  </si>
  <si>
    <t xml:space="preserve">The Witch </t>
  </si>
  <si>
    <t>7.7</t>
  </si>
  <si>
    <t>The story of a young woman with a mysterious and dangerous secret. She's called a 'witch' by some, and a young man she went to school with years before tries to find out why. But he must be careful as he quietly gathers information to solve the mystery. In addition to the danger factor, he must also guard his heart as feelings he had for her long ago resurface.</t>
  </si>
  <si>
    <t>Mystery, Romance, Drama</t>
  </si>
  <si>
    <t>Cursed Female Lead, Unlucky Female Lead, Smart Male Lead, Investigation, Data Miner Male Lead, False Rumor, Difficult Adulthood, Translator Female Lead, Lonely Female Lead, Quiet Female Lead</t>
  </si>
  <si>
    <t>Park Jin Young, Roh Jeong Eui</t>
  </si>
  <si>
    <t>#311</t>
  </si>
  <si>
    <t>Payback: Money and Power</t>
  </si>
  <si>
    <t>â€œPaybackâ€ follows the revenge story of a group of peopleâ€”including Eun Yong, a money traderâ€”who refuses to remain silent in the face of unjust authorities and fight against a cartel conspiring with the law.</t>
  </si>
  <si>
    <t>Thriller, Mystery, Business, Drama</t>
  </si>
  <si>
    <t xml:space="preserve">Uncle-Nephew Relationship, Finance Industry, Fight For Justice, Corruption, Money-Obsession, Revenge, Rich Male Lead, Business Industry, Former Prosecutor Female Lead, Co-workers' Relationship </t>
  </si>
  <si>
    <t>Kang Yoo Seok, Moon Chae Won, Lee Sun Kyun, Park Hoon</t>
  </si>
  <si>
    <t>#312</t>
  </si>
  <si>
    <t xml:space="preserve">The Escape of the Seven: Resurrection </t>
  </si>
  <si>
    <t>Through the "Bobble Incident" that started the revenge and ended in blood, Do Hyuk became the culprit and lost his life. However, he didn't die. Do Hyuk returns with seething vengeance to expose Matthew's true identity to everyone. Kang Ki Tak and the unknown aide who goes by "Medusa" appear to help him. Matthew has no intention of stopping. With his fake identity, Matthew has the whole world crazy about him. He endeavors to be the epitome of his phony identity and take over Sungchan Group, the company his father raised with his life. Only then will his revenge be complete. The seven wicked associates will now regroup to play the game of revenge that has reset in desperation. Some will be out for revenge, some for power, and some will hide their true goal in a new game where they will deceive and betray each other. How will the fates of the Seven reborn from lies end?</t>
  </si>
  <si>
    <t>Revenge, Greed, Betrayal, Suspense, Hatred, Picaresque, Secret, Survival, Investigation, Melodrama</t>
  </si>
  <si>
    <t>Uhm Ki Joon, Hwang Jung Eum, Lee Joon, Lee Yoo Bi, Shin Eun Kyung, Yoon Jong Hoon</t>
  </si>
  <si>
    <t>#313</t>
  </si>
  <si>
    <t>Lies Hidden in My Garden</t>
  </si>
  <si>
    <t>Moon Ju Ran, a housewife married to a doctor, lives a peaceful life in her familyâ€™s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</si>
  <si>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 xml:space="preserve">Rich Woman/Poor Woman, Post-traumatic Stress Disorder (PTSD), Perfectionist Male Lead, Psychological Manipulation, Perfectionist Female Lead, Extortion, Gaslighting, Obsessive Male Lead, Depression, Domestic Violence </t>
  </si>
  <si>
    <t>Kim Tae Hee, Im Ji Yeon, Kim Sung Oh, Choi Jae Rim</t>
  </si>
  <si>
    <t>#314</t>
  </si>
  <si>
    <t>Mi Na, Did You Change Your Profile Picture Again?</t>
  </si>
  <si>
    <t>The humorous and realistic tale of Mina, a 29-year-old single woman questioning the direction of her life. As her friends settle down in marriage and she navigates through failed relationships in her twenties, Mina finds herself frequently switching between boyfriends and profile pictures. Will she rediscover the capacity to love?</t>
  </si>
  <si>
    <t>Romance</t>
  </si>
  <si>
    <t>Miniseries, Web Series</t>
  </si>
  <si>
    <t>Kim Tae Young, Lim Hyoun Soo, Lee Tae Hyung, Moon Xion</t>
  </si>
  <si>
    <t>#315</t>
  </si>
  <si>
    <t>Stealer: The Treasure Keeper</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</si>
  <si>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heâ€™s a daring thief. As the Seoul Metropolitan Police recovers missing assets, both of his lives begin to unravel.</t>
  </si>
  <si>
    <t>Action, Adventure, Mystery, Comedy</t>
  </si>
  <si>
    <t xml:space="preserve">Double Identity, Thief Male Lead, Heist, Staged Death, Physically Strong Female Lead, Physically Strong Male Lead, Emotionally Strong Female Lead, Cultural Heritage, Police Inspector Female Lead, Police Inspector Male Lead </t>
  </si>
  <si>
    <t>Lee Joo Woo. Jo Han Chul, Kim Jae Won, Choi Hwa Jung, Lee Deok Hwa, Joo Won</t>
  </si>
  <si>
    <t>#316</t>
  </si>
  <si>
    <t>Love Song for Illusion</t>
  </si>
  <si>
    <t>7.6</t>
  </si>
  <si>
    <t>Crown Prince Sajo Hyun secretly works as a fashion designer in a downtown boutique, hiding his royal identity. He's haunted by a deep childhood wound from his harsh father, Sajo Seung. Hyun also has another persona, Ak Hee, a charming seducer cursed with pain from any physical touch. Yeon Wol, the royal heir of the fallen Yeon Dynasty, lives a life full of twistsâ€”going from assassin to concubine. Disguised as Gye Ra, she seeks revenge for her family, but after an assassination attempt on the king goes wrong, she wakes up with no memory of her past.</t>
  </si>
  <si>
    <t>Historical, Romance, Fantasy</t>
  </si>
  <si>
    <t>Dissociative Identity Disorder, Revenge, Adapted From A Webtoon, Concubine Female Lead, Manipulative Male Lead, Historical Fiction, Trauma, Curse, Physically Strong Female Lead, Physically Strong Male Lead</t>
  </si>
  <si>
    <t>Park Ji Hoon, Hong Ye Ji, Hwang Hee, Ji Woo</t>
  </si>
  <si>
    <t>#317</t>
  </si>
  <si>
    <t>The 8 Show</t>
  </si>
  <si>
    <t>Eight severely indebted people take part in a weird game that changes their lives forever. The rules seem simple</t>
  </si>
  <si>
    <t>#318</t>
  </si>
  <si>
    <t>Oasis</t>
  </si>
  <si>
    <t>In 1980s South Korea, amidst political unrest, two high school friends, Lee Du Hak and Choi Cheol Ung, bond with O Jeong Sin, a transfer student from Seoul. As they grow closer, both boys fall for her, igniting a love rivalry. Tragedy strikes when Lee Du Hak's family is caught in an incident, leading him down a path of violence and revenge. With political turmoil escalating, can love help heal the rift between the friends?</t>
  </si>
  <si>
    <t>Romance, Youth, Drama, Melodrama</t>
  </si>
  <si>
    <t>1980s, 1990s, Gangster Male Lead, Secret, Family Secret, Poor Male Lead, Transfer Student Female Lead, Student Male Lead, School Setting, Childhood Friends' Relationship</t>
  </si>
  <si>
    <t>Jang Dong Yoon, Seol In Ah, Choo Young Woo</t>
  </si>
  <si>
    <t>#319</t>
  </si>
  <si>
    <t>The Midnight Romance in Hagwon</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</si>
  <si>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â€œMiracle of Daechi.â€ Just when her life begins to feel settled, former pupil and troublemaker Lee Joon Ho, whom she'd helped get into a prestigious university ten years previously, shows up and stirs up chaos.</t>
  </si>
  <si>
    <t>Romance, Life, Melodrama</t>
  </si>
  <si>
    <t xml:space="preserve">Education Industry, Co-workers' Relationship, Workplace Setting, Teenager Supporting Character, Older Woman/Younger Man, Age Gap [Drama Life], Age Gap [Real Life], Mature Female Lead, Student Supporting Character, School Setting </t>
  </si>
  <si>
    <t>Jung Ryeo Won, Wi Ha Joon</t>
  </si>
  <si>
    <t>#320</t>
  </si>
  <si>
    <t>Branding in Seongsu</t>
  </si>
  <si>
    <t>So Eun Ho is the oldest intern in charge of the marketing agency and is known for his cuteness and youthful appearance. Despite living life as a 'YOLO' enthusiast, he unexpectedly entered the job market and began his internship. He clashes with his boss, the workaholic Kang Na Eon, at every turn. Succeeding in every project she takes on, Kang Na Eon is the youngest marketing team leader and a living legend in the industry. She started out as a public recruiter, climbing the corporate ladder to become an executive, all while sacrificing friendships and love for success. However, her life takes an unexpected turn when she becomes entangled in an incident with an intern she initially thought was foolish, completely turning her world upside down overnight. What will unfold as the souls of two people who hated each other because of their very different values swap bodies following an unexpected kiss?</t>
  </si>
  <si>
    <t>Thriller, Romance, Supernatural</t>
  </si>
  <si>
    <t xml:space="preserve">Bickering Mains' Relationship, Body Swap, Businesswoman Female Lead, Workaholic Female Lead, Age Gap [Real Life], Warm Man/Cold Woman, Gender Swap, Smart Female Lead, Older Woman/Younger Man, Identity Swap </t>
  </si>
  <si>
    <t>Kim Ji Eun, Lomon, Yang Hye Ji, Kim Ho Young</t>
  </si>
  <si>
    <t>#321</t>
  </si>
  <si>
    <t>The Scandal of Chun Hwa</t>
  </si>
  <si>
    <t>Set in the fictional country of Dongbangguk. Hwa Ri is youngest princess of the royal family. She grew up with an independent mindset. When she reaches the age to marry, she decides to find her husband by herself. She comes out of the palace to meet her suitors. She also tries to find the person who painted her face as the main female character in a series of erotic chunhwa paintings. Meanwhile, Choi Hwan is first on the list of potential husbands for Princess Hwa Ri. He is the wealthiest merchant and possesses a handsome appearance. He looks like a man who enjoys women and money, but he seems to hide a secret.</t>
  </si>
  <si>
    <t xml:space="preserve">Princess Female Lead, Historical Fiction, Royalty, Playboy Male Lead, Miniseries, Sexual Content, Nudity, Web Series, Rich Male Lead, Joseon Dynasty </t>
  </si>
  <si>
    <t>Go A Ra, Chang Ryul</t>
  </si>
  <si>
    <t>#322</t>
  </si>
  <si>
    <t>Pale Moon</t>
  </si>
  <si>
    <t>Yoo Yi Hwa lives with her husband, who is indifferent to her. Yoo Yi Hwa's life as a housewife is comfortable but boring. She begins to work at a bank as a contract worker. While working at the bank, she regains her confidence. But, Yoo Yi Hwa begins to steal money from her clients.</t>
  </si>
  <si>
    <t>White-Collar Crime, Student Male Lead, Childhood Friends' Relationship, Bank Setting, Bank Teller Supporting Character, Bank Teller Female Lead, Married Female Lead, Age Gap [Drama Life], Age Gap [Real Life], Doctor Supporting Character</t>
  </si>
  <si>
    <t>Kim Seo Hyung, Yoo Sun, Seo Young Hee, Lee Si Woo</t>
  </si>
  <si>
    <t>#323</t>
  </si>
  <si>
    <t>Bitch X Rich</t>
  </si>
  <si>
    <t>7.5</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</si>
  <si>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Naâ€™s rivalry with Kim Hye In as they are pitted against each other in mental warfare.</t>
  </si>
  <si>
    <t>Thriller, Mystery, Youth, Drama</t>
  </si>
  <si>
    <t xml:space="preserve">Transfer Student Female Lead, Student Female Lead, Student Male Lead, School Setting, Teenager Female Lead, Teenager Male Lead, Rich Female Lead, Poor Female Lead, Miniseries, Death </t>
  </si>
  <si>
    <t>Lee Eun Saem, Ye Ri, Lee Jong Hyuk, Yoo Jung Hoo</t>
  </si>
  <si>
    <t>#324</t>
  </si>
  <si>
    <t xml:space="preserve">Su Ji &amp; U Ri </t>
  </si>
  <si>
    <t>Jin Soo Ji is a superstar psychiatrist at Haedeul Hospital, juggling fame and a hectic schedule of TV shows, book tours, and fan events, leaving her with barely three hours of sleep a day. Her seemingly perfect life takes a turn when Chae Woo Ri, a new doctor, joins the team. Talented and driven by justice, Woo Ri sees Soo Ji as selfish and ambitious, sparking constant clashes. But when scandals force Soo Ji to disappear, Woo Ri begins to see her struggles in a new light. Can their rocky relationship take a surprising turn?</t>
  </si>
  <si>
    <t>Romance, Drama, Family, Medical</t>
  </si>
  <si>
    <t xml:space="preserve">: Enemies To Lovers, Nice Male Lead, Love Triangle, Estranged Sibling, Ex Comes Back, Half-Sibling Rivalry, Strategic Planning Director Male Lead, Jealous Sibling, Resident Doctor Female Lead, Bickering Mains' Relationship </t>
  </si>
  <si>
    <t>Ham Eun Jung, Baek Sung Hyun, Oh Hyun Kyung, Kang Byul, Shin Jung Yoon</t>
  </si>
  <si>
    <t>#325</t>
  </si>
  <si>
    <t xml:space="preserve">Family: The Unbreakable Bond </t>
  </si>
  <si>
    <t>Kwon Do Hun is an expert sniper and a secret agent working for the National Intelligence Service. To conceal his true identity, he lives a double life as a regular trading company employee, keeping even his wife, Kang Yu Ra, in the dark. Though he is occupied with his work, Kwon Do Hun cherishes his wife deeply. Meanwhile, Kang Yu Ra, a dedicated homemaker, harbors a secret. Their tranquil existence is thrown into turmoil when Tae Gu emerges, posing a threat to their carefully crafted faÃ§ade.</t>
  </si>
  <si>
    <t>Action, Thriller, Comedy, Drama</t>
  </si>
  <si>
    <t xml:space="preserve">Spy Male Lead, Married Life, Double Identity, Romance, Hidden Identity, Family Struggle, Trader Male Lead, Sniper Male Lead, Married Female Lead, Married Male Lead </t>
  </si>
  <si>
    <t>Jang Hyuk, Jang Na Ra, Chae Jung An, Kim Nam Hee</t>
  </si>
  <si>
    <t>#326</t>
  </si>
  <si>
    <t>Uncle Samsik</t>
  </si>
  <si>
    <t>Set in 1960s South Korea. The series follows two men through their bromance and the obstacles they face during a turbulent time in the countryâ€™s history. It depicts the story of Park Doo Chil, who is known as Uncle Samsik, who always has three meals a day, even during the war, and Kim San, an elite man from the Korean Military Academy, who wants to create a country where everyone lives well.</t>
  </si>
  <si>
    <t xml:space="preserve">Student Supporting Character, Partners' Relationship, Activist Supporting Character, Businessman/Businesswoman Supporting Character, General Supporting Character, Soldier Supporting Character, Soldier Male Lead, Politician Supporting Character, Reporter Supporting Character, Intergenerational Friendship </t>
  </si>
  <si>
    <t>Song Kang Ho, Byun Yo Han, Lee Kyu Hyung, Jin Ki Joo, Seo Hyun Woo</t>
  </si>
  <si>
    <t>#327</t>
  </si>
  <si>
    <t xml:space="preserve">Hide </t>
  </si>
  <si>
    <t>Na Moon Young is married to Cha Sung Jae, but Cha Sung Jae suddenly disappears. Na Moon Young tries to find her husband and uncover the secret behind his disappearance. Meanwhile, Ha Yeon Joo is neighbors with Na Moon Young. There is also a mysterious man named Do Jin Woo who holds the key to the secret of Cha Sung Jae's disappearance.</t>
  </si>
  <si>
    <t>Difficult Adulthood, Searching For A Significant Other, Former Prosecutor Female Lead, Non-MDL Remake, Ex-Convict Male Lead, Married Female Lead, Married Male Lead, Neighbors' Relationship, Detective Supporting Character, Company President (CEO) Female Lead</t>
  </si>
  <si>
    <t>Lee Bo Young, Lee Moo Saeng, Lee Chung Ah, Lee Min Jae</t>
  </si>
  <si>
    <t>#328</t>
  </si>
  <si>
    <t>The Heavenly Idol</t>
  </si>
  <si>
    <t>Pontifex Rembrary, a character known for his divine powers, gets transported to a new world while fighting a devil. He possesses the body of Woo Yeon Woo, a member of an unpopular idol group, and helps turn the group's fortunes around after a disastrous live performance. With his charisma and divine powers, he becomes popular among fans but faces challenges from his past, contending with strange religious groups and the devil.</t>
  </si>
  <si>
    <t>Transmigration, Idol Male Lead, Body Swap, Priest Male Lead, Music Industry, Physically Strong Male Lead, Emotionally Strong Female Lead, Emotionally Strong Male Lead, Adapted From A Web Novel, Age Gap</t>
  </si>
  <si>
    <t>Kim Min Gue, Go Bo Gyeol, Lee Jang Woo, Ye Ji Won</t>
  </si>
  <si>
    <t>#329</t>
  </si>
  <si>
    <t>Queen of Divorce</t>
  </si>
  <si>
    <t>7.4</t>
  </si>
  <si>
    <t>Kim Sa Ra, once the daughter-in-law of South Korea's top law firm, was betrayed by her husband and lost everything. Now, as team leader at Solution, a divorce settlement office, she helps those facing unfair divorces and punishes bad spouses. She works alongside Dong Ki Joon, her business partner and former prosecutor known as the "German Shepherd" for his persistence and keen intuition. Together, they assist people navigating difficult divorces.</t>
  </si>
  <si>
    <t>Action, Comedy, Romance</t>
  </si>
  <si>
    <t xml:space="preserve">Divorced Female Lead, Drama, Law, Teamwork, Investigation, Slight Suspense, Badass Female Lead, Mystery, Betrayed By A Significant Other, Workplace Setting </t>
  </si>
  <si>
    <t>Lee Ji Ah, Kang Ki Young</t>
  </si>
  <si>
    <t>#330</t>
  </si>
  <si>
    <t xml:space="preserve">Newtopia </t>
  </si>
  <si>
    <t>It is a drama that depicts the process of a soldier, Jae Yun, and his girlfriend, Yeong Ju, who have just been notified of a breakout, fighting against hordes of zombies and running toward each other, set in an air defense unit in a high-rise building in Seoul. Jae Yun enlisted in the military at the late age of 26 while seeking alternative service through employment in the defense industry. Anxious about his future, he becomes obsessed with his girlfriend, eventually breaks up with her, and faces a world turned upside down by hordes of zombies. He was weak and lacked confidence, but as he fought the zombie outbreak, he gradually began to act as the leader of the squad. Yeong Ju is a rubber rookie who is new to society and is having a hard time with Jae Yun, who does not understand her feelings before being notified of their breakup. As she sets out to meet her boyfriend, she discovers a zombie outbreak and gradually becomes stronger in the fight for survival.</t>
  </si>
  <si>
    <t>Action, Horror, Romance, Fantasy</t>
  </si>
  <si>
    <t xml:space="preserve">Zombies, Comedy, City Setting, Hotelier Supporting Character, Engineer Female Lead, Chef Supporting Character, Soldier Male Lead, Team Leader Male Lead, Company President (CEO) Supporting Character, Zombie Apocalypse </t>
  </si>
  <si>
    <t>Ji Soo, Park Jeong Min</t>
  </si>
  <si>
    <t>#331</t>
  </si>
  <si>
    <t>Frankly Speaking</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</si>
  <si>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Baekâ€™s harsh language, and she gets him to appear on her variety show.</t>
  </si>
  <si>
    <t xml:space="preserve">Honest Male Lead, Entertainment Industry, Broadcasting Industry, Ex Comes Back, Blunt Male Lead, Announcer Male Lead, Writer Female Lead, Straightforward Male Lead, Adopted Female Lead, Friendship </t>
  </si>
  <si>
    <t>Go Kyung Pyo, Kang Han Na, Joo Jong Hyuk</t>
  </si>
  <si>
    <t>#332</t>
  </si>
  <si>
    <t xml:space="preserve">The Bequeathed </t>
  </si>
  <si>
    <t>A woman inherits a gravesite under mysterious circumstances, just as her family's history begins to unravel.</t>
  </si>
  <si>
    <t xml:space="preserve">Suspense, Family Secret, Investigation, Detective Male Lead, Village Setting, Death, Occult, Half-sister-Half-brother Relationship, Miniseries, Monk/Nun Supporting Character </t>
  </si>
  <si>
    <t>Kim Hyun Joo, Park Hee Soon, Park Byung Eun, Ryu Kyung Soo</t>
  </si>
  <si>
    <t>#333</t>
  </si>
  <si>
    <t xml:space="preserve">Pandora: Beneath the Paradise </t>
  </si>
  <si>
    <t>To protect her family, Hong Tae Ra must become the First Lady of Korea. She leads a perfect life with her husband, Pyo Jae Hyun, and their daughter, but she has no memory of her past. When she regains her memory, she uncovers a dark history that shatters her life. Now, she must seek revenge on those who wronged her. Pyo Jae Hyun, a brilliant developer of neural smart patch technology, is admired for his leadership and sensible personality. As whispers of his potential presidential candidacy grow, his life becomes intertwined with the political world.</t>
  </si>
  <si>
    <t>Action, Thriller, Drama, Melodrama</t>
  </si>
  <si>
    <t xml:space="preserve">Physically Strong Female Lead, Dishonest Male Lead, Evil Step-Parent, Evil Parent, Broadcasting Industry, Mistaken To Be Betrayed, Protective Female Lead, Married Supporting Character, Married Female Lead, Married Male Lead </t>
  </si>
  <si>
    <t>Lee Ji Ah, Lee Sang Yoon, Jang Hee Jin, Park Ki Woong, Bong Tae Kyu</t>
  </si>
  <si>
    <t>#334</t>
  </si>
  <si>
    <t>Queen of Masks</t>
  </si>
  <si>
    <t>7.3</t>
  </si>
  <si>
    <t>Do Jae Yi is a human rights lawyer who has built up a large following on social media. She has a reputation for defending the vulnerable and victims of sexual crime. Ten years ago, she was the victim of a terrible, haunting crime. Now, she has become a veritable â€œqueen of masks.â€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womenâ€™s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</si>
  <si>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 xml:space="preserve">Best Friends' Relationship, Female Centered Plot, Betrayed By A Friend, Drug Addict Female Lead, Lawyer Female Lead, Evil Female Lead, Illegitimate Female Lead, Fight For Justice, Flashback To Past, Hardworking Female Lead </t>
  </si>
  <si>
    <t>Kim Sun Ah, Oh Yoon Ah, Shin Eun Jung, Yoo Sun</t>
  </si>
  <si>
    <t>#335</t>
  </si>
  <si>
    <t>Motel California</t>
  </si>
  <si>
    <t>Ji Gang Hui grew up at Motel California because her father ran the motel in her rural hometown village. Her mother also came from a mixed-raced background. Due to Gang Hui's unusual family background, she was the object of whispers and gossip by the local residents. Gang Hui carried a deep wound in her heart from that time. She liked her childhood friend Cheon Yeon Su, who was her first love. When she turned 20, she left her hometown and moved to Seoul. 12 years later, she works as an interior designer and is reaching the apex of her career, but for some reason, she decides to return to her hometown. She reunites with her first love, Cheon Yeon Su. Cheon Yeon Su works as a veterinarian in the village. The only woman he has loved is Gang Hui, but he has received a lot of attention from the farmers who are eager to introduce him to their daughters. In order to avoid these kind of uncomfortable situations, he doesn't clarify the rumor that he is going to marry a fellow veterinarian. His first love Gang Hui appears again after 12 years.</t>
  </si>
  <si>
    <t>Romance, Drama</t>
  </si>
  <si>
    <t>Return To Hometown, Motel Owner Male Lead, Estranged Child, Estranged Parent, Mixed Race Female Lead, Difficult Adulthood, Childhood Acquaintances Reuniting, Childhood Friends' Relationship, Carefree Male Lead, Village Setting</t>
  </si>
  <si>
    <t>Lee Se Young, Na In Woo, Choi Min Soo, Kim Tae Hyeong, Choi Hee Jin</t>
  </si>
  <si>
    <t>#336</t>
  </si>
  <si>
    <t>LTNS</t>
  </si>
  <si>
    <t>The days of burning with sexual desire and lusting after each otherâ€™s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</si>
  <si>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Comedy, Drama</t>
  </si>
  <si>
    <t xml:space="preserve">Receptionist Female Lead, Bank Teller Supporting Character, Married Supporting Character, Married Female Lead, Married Male Lead, Hotelier Female Lead, Office Worker Supporting Character, Taxi Driver Male Lead, Married Life, Ambitious Female Lead </t>
  </si>
  <si>
    <t>Esom, Ahn Jae Hong</t>
  </si>
  <si>
    <t>#337</t>
  </si>
  <si>
    <t>The Real Has Come!</t>
  </si>
  <si>
    <t>Oh Yeon Doo, an online Korean language instructor, discovers her boyfriend, Kim Joon Ha, has been cheating on her and that she is pregnant. Meanwhile, Gong Tae Kyung, a successful obstetrician, has no intention of marrying. The two often cross paths and help each other, leading Tae Kyung to propose a fake marriage to escape his family's pressure. However, complications arise with Tae Kyung's first love, Jang Se Jin, and Oh Yeon Doo's ex, Kim Joon Ha. Will love sort out this tangled mess?</t>
  </si>
  <si>
    <t xml:space="preserve">Pregnancy, Fake To Real Lovers, Contract Relationship, Family Relationship, Cohabitation, Multiple Couples, Big Family, Family Pressure, Adopted Male Lead, Gynecologist Male Lead </t>
  </si>
  <si>
    <t>Baek Jin Hee, Ahn Jae Hyun, Cha Joo Young, Jung Eui Jae</t>
  </si>
  <si>
    <t>#338</t>
  </si>
  <si>
    <t>Kokdu: Season of Deity</t>
  </si>
  <si>
    <t>7.2</t>
  </si>
  <si>
    <t>Kkok Du, once a mortal man in ancient Korea, is now an immortal reaper, revisiting the mortal world every 99 years to punish human weaknesses. His millennia-long existence has hardened him, cultivating a ruthless disdain for humans. During his latest visit, Kkok Du inhabits the body of a gifted young doctor named Do Jin Woo. However, his mission becomes intricate when he must perform Jin Woo's medical duties. In an unexpected twist, Kkok Du encounters Han Gye Jeol, a doctor from a lesser-known school, yet harboring enigmatic powers that captivate him. Are their destinies intertwined from a past life, and why does she wield such influence over him?</t>
  </si>
  <si>
    <t>Comedy, Romance, Medical, Fantasy</t>
  </si>
  <si>
    <t>Bickering Mains' Relationship, Fate, Grim Reaper Male Lead, Past Life, Reincarnated Lovers, Curse, Reincarnation, Doctor Female Lead, Flashback To Past, Supernatural Power</t>
  </si>
  <si>
    <t>Kim Jung Hyun, Im Soo Hyang, Kim Da Som, Ahn Woo Yeon</t>
  </si>
  <si>
    <t>#339</t>
  </si>
  <si>
    <t xml:space="preserve">Nothing Uncovered </t>
  </si>
  <si>
    <t>KBM Reporter Seo Jung Won is known as the Villain Hunter. Her show, â€œNothing Uncovered,â€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Wonâ€™s husband, and he's a famous mystery writer from a wealthy family. Although heâ€™s a romantic whoâ€™s willing to do anything for Jung Won, he has been secretly hiding his wounded heart. And now, the three are deeply involved in serial murders.</t>
  </si>
  <si>
    <t xml:space="preserve">Married Life, Investigation, Age Gap [Real Life], Broadcasting Industry, Supportive Friend, Betrayed By A Significant Other, News Station Setting, Partners' Relationship, News Director Supporting Character, Former Prosecutor Supporting Character </t>
  </si>
  <si>
    <t>Kim Ha Neul, Yeon Woo Jin, Jang Seung Jo</t>
  </si>
  <si>
    <t>#340</t>
  </si>
  <si>
    <t>Beauty and Mr. Romantic</t>
  </si>
  <si>
    <t>Park Do Ra is a bright, brave woman with a challenging personality who became a top actress because her mother, Baek Mi Ja, said it was the only way to escape poverty. After earning fame and fortune as a top star, all Do Ra wants to do is rest and enjoy her riches, but her mother keeps causing trouble. Mi Ja always adorns herself in luxury, even more than any top star, thanks to Do Ra's success. However, Mi Ja wants more. Do Ra can't handle her tight schedule due to Mi Ja's desires and wants to quit her new drama "Straightforward Romance," but she can't because she met her first love, Go Pil Sung, the assistant director. Pil Sung is passionate about his job but tries to leave "Straightforward Romance" because of Do Ra, who was very particular to him when he was young. Unfortunately, an unusual assignment to exclusively lead her falls in his lap. Will Do Ra find her happiness by escaping her mother's never-ending desires?</t>
  </si>
  <si>
    <t>Romance, Drama, Family, Melodrama</t>
  </si>
  <si>
    <t xml:space="preserve">Age Gap [Real Life], Nice Male Lead, Debt, First Love, Unrequited Love, Age Gap [Drama Life], Meet Again, Emotionally Strong Male Lead, Famous Woman/Common Man, Energetic Male Lead </t>
  </si>
  <si>
    <t>Im Soo Hyang, Ji Hyun Woo</t>
  </si>
  <si>
    <t>#341</t>
  </si>
  <si>
    <t>Kick Kick Kick Kick</t>
  </si>
  <si>
    <t>Ji Jin Hui used to be a popular actor and entertainer. He founded the production company Kick Kick Kick Kick Company with Cho Yeong Sik. Jo Young Sik was once a star PD. A scandal ended his heydays as a PD. Even though he didn't have a good relationship with Ji Jin Hui at that time, they started Kick Kick Kick Kick Company together and have run the company together. They have employees, including Baek Ji Won, who works as a therapist for employees and Lee Min Jae, who is a workaholic and determined to find success.</t>
  </si>
  <si>
    <t>Comedy, Sitcom</t>
  </si>
  <si>
    <t>Actor Male Lead, Company President (CEO) Male Lead</t>
  </si>
  <si>
    <t>Ji Jin Hee, Lee Kyu Hyung, Baek Ji Won, Lee Min Jae</t>
  </si>
  <si>
    <t>#342</t>
  </si>
  <si>
    <t>Strangers Again</t>
  </si>
  <si>
    <t>Oh Ha Ra is a hotshot divorce lawyer whose nickname in legal circles is â€œthe â€œgoddess of litigation.â€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anotherâ€™s skin! Will Cupid rescue this group of lawyers â€“ or will chaos break loose in the courtroom?</t>
  </si>
  <si>
    <t>Law, Romance, Drama</t>
  </si>
  <si>
    <t xml:space="preserve">Bickering Mains' Relationship, Ex-spouse Relationship, Unhealthy Mains' Relationship, Second Chance Romance, Love/Hate Relationship, Co-workers' Relationship, Miscommunication, Slight Comedy, Secondary Couple, Flashback To Past </t>
  </si>
  <si>
    <t>Kang So Ra, Jang Seung Jo</t>
  </si>
  <si>
    <t>#343</t>
  </si>
  <si>
    <t xml:space="preserve">Race </t>
  </si>
  <si>
    <t>Office politics take center stage for marketer Park Yun Jo, whose lack of an academic background wonâ€™t deter her dedication to her work, and the smart and just Ryu Jae Min, who lacks any expectations towards their company.</t>
  </si>
  <si>
    <t>Business, Romance, Drama, Melodrama</t>
  </si>
  <si>
    <t>Assistant Manager Female Lead, Co-workers' Relationship, Childhood Friends' Relationship, Workplace Setting, Office Setting, Senior-Junior Relationship, Bartender Supporting Character, Teenager Supporting Character, Company President (CEO) Supporting Character, Company President (CEO) Male Lead</t>
  </si>
  <si>
    <t>Lee Yun Hee, Hong Jong Hyun, Moon So Ri, U-Know</t>
  </si>
  <si>
    <t>#344</t>
  </si>
  <si>
    <t>Dare to Love Me</t>
  </si>
  <si>
    <t>7.1</t>
  </si>
  <si>
    <t>Shin Yoon Bok, a disciplined scholar from Seongsan Village, South Korea, is entrusted with the important task of preserving the heritage of the Joseon Dynasty and recovering valuable cultural artifacts for his family. While he holds deep respect for the wisdom of his elders and diligently follows their guidance as a prominent Confucian scholar of his era, he also possesses the progressive mindset of a modern-day youth, occasionally displaying a streak of rebellion. Despite his courteous demeanor, he struggles with forming emotional connections with others and tends to maintain a certain level of distance. When Yoon Bok decides to leave his home in Seoul to pursue his dream of becoming a webtoon writer, his journey takes a significant turn when he encounters Kim Hong Do, a woman weary of life's struggles. How will Yoon Bok, who's cautious with his emotions, navigate the whirlwind of emotions that lies ahead?</t>
  </si>
  <si>
    <t>Older Woman/Younger Man, Emotionally Strong Female Lead, Intern Female Lead, Scholar Male Lead, Fashion Designer Female Lead, Heir Male Lead, Chasing A Dream, Fashion Industry, Brother-Sister Relationship, Determined Female Lead</t>
  </si>
  <si>
    <t>L, Lee Yoo Young, Bae Jong Ok, Sunwoo Jae Duk</t>
  </si>
  <si>
    <t>#345</t>
  </si>
  <si>
    <t>Hierarchy</t>
  </si>
  <si>
    <t>6.9</t>
  </si>
  <si>
    <t>Jooshin High School, the most prestigious in South Korea, was established by the Jooshin Group and admits only students selected at birth. Among them are Jeong Jae Yi, daughter of the Jaeyool Group's head</t>
  </si>
  <si>
    <t>#346</t>
  </si>
  <si>
    <t xml:space="preserve">Oh! Youngsim </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</si>
  <si>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didnâ€™t feel the same, they lost contact after he moved to the U.S. Now, 20 years later, Wang Kyung Tae returns as CEO Mark Wang. PD Lee Chae Dong, her supportive colleague, and her friend Goo Wol Sook, who runs a popular YouTube channel, are also part of her life.</t>
  </si>
  <si>
    <t xml:space="preserve">Childhood Acquaintances Reuniting, Producer Female Lead, Entertainment Industry, First Love Returns, Producer Supporting Character, Childhood Crush, Miniseries, Adapted From An Aeni, Bickering Mains' Relationship, Startup </t>
  </si>
  <si>
    <t>Song Ha Yoon, Lee Dong Hae, Lee Min Jae, Ryu Hyo Young</t>
  </si>
  <si>
    <t>#347</t>
  </si>
  <si>
    <t>DNA Lover</t>
  </si>
  <si>
    <t>So Jin, a genetic researcher who loves DNA, decides to end her relationship with a playboy boyfriend and sets out to find a genetically compatible partner for a happy relationship. Who between the two men that So Jin meets, obstetrician-gynecologist Yeon U and firefighter Gang Hun, will be the perfect match for her? A captivating story intertwined with genetics! This story portrays the struggles, love, and everyday lives of young friends.</t>
  </si>
  <si>
    <t>Comedy, Romance, Melodrama</t>
  </si>
  <si>
    <t>Medical Research, Medical, Columnist Female Lead, Gynecologist Male Lead, Hospital Setting, Obstetrician Male Lead, Researcher Female Lead, Single Mother/Father Supporting Character, Nurse Supporting Character, Doctor Male Lead (</t>
  </si>
  <si>
    <t>Choi Si Won, Jung In Sun, Jung Eugene, Lee Tae Hwan</t>
  </si>
  <si>
    <t>#348</t>
  </si>
  <si>
    <t>Our Love Triangle</t>
  </si>
  <si>
    <t>Hae Rin, a university student, finds herself torn between two men: Woo Jin, a charming junior she partnered with at an event, and Eun Hwan, her former crush who returns with memory loss after a two-year absence. As Eun Hwan hopes to rekindle their past connection, Hae Rin struggles with conflicting emotions. Will this love triangle lead to happiness or heartbreak?</t>
  </si>
  <si>
    <t>Romance, Youth</t>
  </si>
  <si>
    <t xml:space="preserve">Tsundere Male Lead, Ex Comes Back, Passionate Female Lead, Friends Reunited, Student Supporting Character, Student Female Lead, Student Male Lead, School Setting, School Friends' Relationship, Roommates' Relationship </t>
  </si>
  <si>
    <t>Gong Chan, Ahn Se Min, Kim Si Gyeong</t>
  </si>
  <si>
    <t>#349</t>
  </si>
  <si>
    <t>The Brave Yong Su Jeong</t>
  </si>
  <si>
    <t>6.8</t>
  </si>
  <si>
    <t>Yong Su Jeong has a refreshing charm, which helps her popularity as a home shopping host. She has many female fans from various age ranges due to her honest and straightforward personality. Things are different in her personal life. When she likes a man, she can't express her feelings or even make eye contact with him. Her romantic life is difficult because of this. She has a crush on Joo U Jin, who is the successor of the Masung Group. Yeo Ui Ju is a hard-working man despite his poor family background. He lives with his intellectually disabled mother. His priority is to make his mother happy. One day, he suddenly learns that he is the second grandson of the Masung Group and is stunned by the news. He gets involved with Yong Su Jeong. Meanwhile, Choi Hye Ra is selfish and greedy. If she wants something, she will try to get it no matter what and if anyone comes in her way, she will try to mercilessly punish them.</t>
  </si>
  <si>
    <t xml:space="preserve">Guest House Setting, Adoptive Father-Adoptive Daughter Relationship, Death Of A Mother, Chairman/Chairwoman Supporting Character, Heir Male Lead, Greedy Female Lead, Half-brothers' Relationship, Brothers' Relationship, Honest Female Lead, Mother-in-law - Daughter-in-law Relationship </t>
  </si>
  <si>
    <t>Uhm Hyun Kyung, Seo Joon Young, Im Ju Eun, Kwon Hwa Woon</t>
  </si>
  <si>
    <t>#350</t>
  </si>
  <si>
    <t>Goodbye Earth</t>
  </si>
  <si>
    <t>6.4</t>
  </si>
  <si>
    <t>An asteroid is on course to crash into Earth in 200 days and destroy the planet. The world soon learns of the news and falls into chaos. Jin Se Kyung works as a middle-school teacher in Woongchun City. She learns about the impending end of the world. She decides to quit her job and do volunteer work at a child and youth division in city hall. She struggles to save children in danger. Her boyfriend of many years is Ha Yoon Sang. He currently works as a researcher at a biotechnology research institute in the United States. After news of the end of the world is released, he flies back to South Korea to be with Jin Se Kyung. Woo Sung Jae is an assistant priest at a Catholic Church. The presiding priest at the church ran away after news broke out about the approaching asteroid. Woo Sung Jae now takes care of the parishioners at the church. Kang In A is a commander of a combat support battalion. She goes around Woongchun City, which has been ruined, to provide supplies, transport and security.</t>
  </si>
  <si>
    <t>Thriller, Psychological, Drama, Sci-Fi</t>
  </si>
  <si>
    <t>Former Teacher Female Lead, Protective Female Lead, Volunteer Female Lead, Commander Female Lead, Priest Male Lead, Researcher Male Lead, Doomsday, Asteroid, Protective Male Lead, Return From Abroad</t>
  </si>
  <si>
    <t>Ahn Eun Jin, Yoo Ah In, Jeon Sung Woo, Kim Yoon Hye</t>
  </si>
  <si>
    <t>Statistik Dasar</t>
  </si>
  <si>
    <t>Metriks</t>
  </si>
  <si>
    <t>Number of Episode</t>
  </si>
  <si>
    <t>Penjelasan</t>
  </si>
  <si>
    <t>Mean</t>
  </si>
  <si>
    <t>Median</t>
  </si>
  <si>
    <t>Mode</t>
  </si>
  <si>
    <t>Menghitung nilai tengah dari rating dan jumlah episode</t>
  </si>
  <si>
    <t>Menghitung rata-rata rating dan jumlah episode</t>
  </si>
  <si>
    <t>Menghitung rating dan jumlah episode yang sering muncul</t>
  </si>
  <si>
    <t>Max</t>
  </si>
  <si>
    <t>Min</t>
  </si>
  <si>
    <t>Standar Deviation</t>
  </si>
  <si>
    <t>Range</t>
  </si>
  <si>
    <t>Variance</t>
  </si>
  <si>
    <t>Interquartile</t>
  </si>
  <si>
    <t>Selisih nilai tertinggi dan terendah</t>
  </si>
  <si>
    <t>Seberapa seragam datanya (makin kecil nilainya makin seragam datanya)</t>
  </si>
  <si>
    <t>Besarnya simpangan titik data dari mean nya</t>
  </si>
  <si>
    <t>Batas bawah 25% data</t>
  </si>
  <si>
    <t>Batas atas 75% data</t>
  </si>
  <si>
    <t>Quartile 1 (Q1)</t>
  </si>
  <si>
    <t>Quartile 3 (Q3)</t>
  </si>
  <si>
    <t>Jarak antara Q3 dan Q1 (untuk mengetahui data tengahnya padat atau tidak)</t>
  </si>
  <si>
    <t>ASYMMETRIC</t>
  </si>
  <si>
    <t>DISPERSION</t>
  </si>
  <si>
    <t>CENTRAL TENDENCY</t>
  </si>
  <si>
    <t xml:space="preserve">Skewness Value </t>
  </si>
  <si>
    <t>Kemiringan kurva</t>
  </si>
  <si>
    <t>Bentuk Distribusi</t>
  </si>
  <si>
    <t>RELATIONSHIP</t>
  </si>
  <si>
    <t>Correlation</t>
  </si>
  <si>
    <t>Covariance</t>
  </si>
  <si>
    <t>Hubungan positif</t>
  </si>
  <si>
    <t xml:space="preserve"> </t>
  </si>
  <si>
    <t>Hubungan positif tapi lemah. Episode panjang bukan jaminan rating bagus</t>
  </si>
  <si>
    <t>Mayoritas drama memiliki rating tinggi, kebanyakan drama episodenya sedikit tapi ada segelintir yang memiliki banyak episode.</t>
  </si>
  <si>
    <t>Rating tertinggi dan jumlah episode terbanyak</t>
  </si>
  <si>
    <t>Rating terendah dan jumlah episode tersedikit</t>
  </si>
  <si>
    <t>Duplicate Data</t>
  </si>
  <si>
    <t>: Tidak ditemukan data duplikat</t>
  </si>
  <si>
    <t>Assessing Data</t>
  </si>
  <si>
    <t>Missing Value</t>
  </si>
  <si>
    <t>Unknown</t>
  </si>
  <si>
    <t>: Mengisi 5 data kosong pada kolom genre, tags, dan actors dengan "Unknown"</t>
  </si>
  <si>
    <t>Invalid Value</t>
  </si>
  <si>
    <t xml:space="preserve">: Mengubah format kolom year of release, number of episode, dan rating dengan format number. </t>
  </si>
  <si>
    <t>Baek Gang Hyeok, a genius trauma surgeon with experience in conflict zones, joins a university hospital to lead its severe trauma team. His confident, bulldozer-like personality clashes with the hospital's financial struggles as the team saves more patients. The team includes Yang Jae Won, a former proctology surgeon who becomes Baek Gang Hyeok's first pupil, nurse Cheon Jang Mi, and anesthesiologist resident Park Gyeong Won. Under Baek Gang Hyeok's leadership, the team transforms from a symbolic unit into one that actively saves lives.</t>
  </si>
  <si>
    <t xml:space="preserve">Although Baek Hee Sung is hiding a dark secret surrounding his true identity, he has established a happy family life and a successful career. He is a loving husband and doting father to his young daughter. But his perfect faÃ§ade begins to crumble when his wife, Cha Ji Won, a homicide detective, begins investigating a string of serial murders from 15 years ago. Ji Won notices changes in Hee Sung's behavior and begins to wonder if he could possibly be hiding something from her. </t>
  </si>
  <si>
    <t>Jang Bong Hwan is a South Korean chef who has risen up the ranks to cook for the country's top politicians in the Blue House's presidential residences. After a serious accident, he finds himself in the body of the young queen, Kim So Yong, when whisked away to an era deep in Korea's past.</t>
  </si>
  <si>
    <t>Moon Gang Tae is a community health worker at a psychiatric ward who was blessed with everything including a great body, smarts, ability to sympathize with others, patience, ability to react quickly, stamina, and more. Meanwhile, Ko Moon Young is a popular writer of children's literature who, due to suffering from an antisocial personality disorder, seems extremely selfish, arrogant, and rude.</t>
  </si>
  <si>
    <t>Mr. Sunshine centers on a young boy born into a house servant's family and travels to the United States during the 1871 Shinmiyangyo (U.S. expedition to Korea). He returns to his homeland later as a U.S. marine officer. He meets and falls in love with an aristocrat's daughter. At the same time, he discovers a plot by foreign forces to colonize Korea.  Edit Translation  English í•œêµ­ì–´ ä¸­æ–‡(ç®€ä½“) Ð ÑƒÑÑÐºÐ¸Ð¹</t>
  </si>
  <si>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</si>
  <si>
    <t>In a time when dreams seem out of reach, a teen fencer pursues big ambitions and meets a hardworking young man who seeks to rebuild his life. Na Hee Do is a member of her high school fencing team. Due to the South Korean financial crisis, the high school fencing team gets disbanded. Getting through all the difficulties, she becomes a member of the national fencing team. The South Korean financial crisis also causes Baek Yi Jin's father's business to go bankrupt. This leads to a life change for Baek Yi Jin, from living the life of a wealthy person to a poor person. While studying, he works part-time jobs like delivering newspapers. Later, he becomes a sports reporter for a broadcasting network.</t>
  </si>
  <si>
    <t>In Korea during the second half of the 1700s, Yi San is an aloof and perfection-loving young prince. His father's killing haunts him, although it leaves him in the position to take the throne once his grandfather â€“ the cruel and ruthless current king responsible for Yi San's father's death â€“ dies. He has resolved to become a benevolent monarch who will reform the law when he eventually takes the throne, but the way his father was killed has scarred him emotionally. At court, he meets a young woman named Sung Deok Im. Yi San falls in love with her and tries to convince her to become his official concubine. But Sung Deok Im is strong-willed and free-spirited. She is also intelligent enough to understand that becoming a royal consort to the future king is a prestigious role, but one that would restrict her freedom and likely bring her little in the way of joy. But Yi San's love for Sung Deok Im is true, and she starts to understand that forming a union with him could ultimately benefit his troubled realm.</t>
  </si>
  <si>
    <t>The residents of Hera Palace, a luxury penthouse apartment with 100 floors, have many secrets and hidden ambitions. Sim Su Ryeon, who was born into wealth, is the queen of the penthouse apartment. Cheon Seo Jin, the prima donna of the residence, does all she can to give everything to her daughter. Oh Yoon Hee comes from a poor family background, but she strives to enter high society by becoming the queen of the penthouse, the pinnacle of success in her eyes. A battle for wealth, power, and prestige at Seoul's most coveted penthouse begins.</t>
  </si>
  <si>
    <t>Do Gi has lived more honestly than anyone else as an officer in the Special Forces. Yet, when a serial killer murders his mother, he spends his days in agony. While feeling wronged and broken, Do Gi meets Jang Sung Chul, who recruits Do Gi to work for his company, Rainbow Taxi. Far from an ordinary taxi service, Rainbow Taxi is a secret organization that avenges victims whom the law didn't protect. Here, Do Gi becomes a star driver who delivers satisfying revenge. Meanwhile, Ha Na is a prosecutor who investigates Rainbow Taxi. She is furious with their lawless behavior, but at the same time, she feels confused to see them solve cases that the law cannot. Between those who believe that revenge embodies true justice and those who pursue the outlaws, Do Gi seeks what justice truly means.</t>
  </si>
  <si>
    <t>After nearly twenty years of marriage, Jung Da Jung and Hong Dae Young seem to be well settled in their domestic lives. The proud parents of a pair of eighteen year old twins, the devoted couple have worked hard to build a happy home together. But what seems like an ideal life on the outside is really anything but. Fed up with Dae Young's incessant nonsense, Da Jung is at her wits' end. When Dae Young announces that he's been fired, Da Jung gives up completely. Convinced life would be better without her husband in it, Da Jung wastes no time in filing for divorce.</t>
  </si>
  <si>
    <t>Jin I Su has everything in life. Being a third-generation conglomerate heir, he never requires others' assistance. However, things start changing when he gets entangled in a case. Jin I Su joins the violent investigative team at the Kangha Police Station that specializes in catching robbers. He aims to use his wealth and personal connections to his advantage. He works under Detective Lee Gang Hyeon. Gang Hyeon is dedicated and a smooth-talker and doesn't care for I Su's presence when they begin working as partners.</t>
  </si>
  <si>
    <t>Back in the 1990s, the citizens of Seoul were gripped with a paralyzing fear after a series of brutal attacks and murders occurred. A mysterious figure dubbed â€˜Red Cap' was stalking women on the streets then killing his prey, seemingly without provocation. His habit of striking at random made it impossible for the detectives to predict his next move. At the top of their minds is what could be triggering him. Aware of the American F.B.I. and its successful use of criminal profilers to identify serial killers, the head of the Criminal Behavioral Analysis team, Gook Young Soo recruits Song Ha Young, a quiet, reserved, incredibly perceptive former detective for his team. Gook believes using this new psychological method will give the police an edge in capturing 'Red Cap' and ending his killing spree. Homicide expert Yoon Tae Goo and her officers question the value of this approach and are resistant to entering such uncharted territory. To quell their scorn they need to convince that this radical crime-fighting approach will increase their arrest rates. Does Song Ha Young have the ability to gain the trust of callous criminals while seeing through them? Is he clever enough to outwit them?  But more importantly, does he possess the emotional fortitude to withstand the process?</t>
  </si>
  <si>
    <t>Park Jung Woo is a prosecutor at Seoul Central District Prosecutors' Office. One day, he wakes up and finds himself a convict on death row. Suffering from temporary amnesia, Jung Woo has no idea what transpired to land him in prison. He struggles to recover his memory and clear his name before his time is up.  Edit Translation  English Ð ÑƒÑÑÐºÐ¸Ð¹ PortuguÃªs Tiáº¿ng Viá»‡t</t>
  </si>
  <si>
    <t>A traumatic childhood experience leaves Cha Do Hyeon, suffering from memory loss and dissociation. The latter has resulted in the creation of seven distinct personalities. Wanting to regain control over his life, he asks Oh Ri Jin, a first-year psychiatric resident, to help him, but she eventually falls in love with one of his personalities. Ri Jin's twin brother, Oh Ri On, a famous mystery novelist, investigates Do Hyeon and his family. (Source: MyDramaList) Edit Translation  English Ð ÑƒÑÑÐºÐ¸Ð¹ TÃ¼rkÃ§e PortuguÃªs</t>
  </si>
  <si>
    <t>Jang Geu Rae has played the game of Go since he was a child. When his plans of becoming a professional Go player fail, the down-and-out Geu Rae is forced to take an office job as an intern set up for him by an acquaintance's recommendation for him to a large company called One International.</t>
  </si>
  <si>
    <t>When reserved rookie boxer Kim Geon U squares off against loquacious southpaw Hong U Jin, Geon U narrowly prevails â€” but the two former marines become fast friends. As their friendship grows, so do the financial woes that plague Geon U's mother. To save her quaint cafÃ© from going under, she signs off on a hefty loan. But when it turns out she's been targeted by Smile Capital â€” a ruthless loan shark business â€” Geon U and U Jin do everything in their power to make it right. Fate intervenes as the pair end up working for a generous money lender whose foster daughter is dead set on taking down the loan sharks.</t>
  </si>
  <si>
    <t xml:space="preserve">Nestled deep in the heart of Seoul's thriving downtown sits a curious hotel, the like of which no one has ever seen before. Old beyond measure, the building has stood for millennia, an ever-present testament to the fact that things are not always what they seem. Running this hotel is Jang Man Wol, a greedy, suspicious soul who has spent the past thousand years acting as the establishment's CEO. Bound to the hotel by a deity who keeps her there to save her from going berserk and self-destruction with rage, hatred and thirst for revenge. Her only hope of escape is if she could let go of her resentment and hatred, and find love. Trapped in her resentment for a betrayal, Man Wol is doomed to spend all of the eternity running this odd establishment, catering to the needs of the most peculiar clientele. </t>
  </si>
  <si>
    <t>In 1986, Park Gwang Ho works as an excellent and enthusiastic detective. His life changes when he's pursuing leads in a serial homicide case and then passes through a time portal, which transports him to present day Seoul.  He meets a new partner Kim Sun Jae, an elite detective who happens to be a bit eccentric, but is one highly skilled investigator. The detective duo will also find help in psychology professor, Shin Jae Yi.</t>
  </si>
  <si>
    <t>About three sisters with a close bond who grew up in poverty. It is the exciting story of the sisters as they get embroiled in a major incident and face off against the wealthiest family in the nation. Kim Go Eun plays the eldest sister Oh In Joo, who wants to protect her family with money. Growing up in extreme poverty, her only dream was to live as well off as other normal people, but a major incident completely shakes up her life. Nam Ji Hyun takes on the role of the second sister Oh In Kyung, a news reporter who does not want to bow down to money and aims to always do what's right. When a mysterious case from her early reporter days returns close to her, she starts digging for the truth. Park Ji Hu transforms into Oh In Hye, the youngest overwhelmed by the love of her older sisters who work hard for her. Although she has never even used decent art supplies due to their family's financial situation, she enters an art high school with her natural talent.</t>
  </si>
  <si>
    <t>Cha Woo Kyung is a child counselor who works at a children's center. Her life seems perfect since she is married to a great husband and is pregnant. However, her perfect life doesn't last long, when an accident changes her life. She then meets Kang Ji Hun, a detective who is strict toward criminals and believes they should be punished to the full extent.</t>
  </si>
  <si>
    <t>Can corporate politics turn a bad person into a good person? Kim Sung Ryong is a skilled accountant who works for gangsters. He makes his way into a company called TQ Group as a middle manager in the accounting department with the intention of embezzling money from the company. As he contends with hot-shot accountant Yoon Ha Kyung, financial prodigy Seo Yul and peppy intern Hong Ga Eun, Sung Ryong finds himself embroiled in office politics and notices other shenanigans by those in power that threaten to bring down the company. Sung Ryong slowly comes to realize that he'd rather fight against corporate corruption and fight for employees' rights than complete the mission he originally came to do. Can he succeed at his new objective against all odds?</t>
  </si>
  <si>
    <t xml:space="preserve">"Once Again" is the story of the eventful Song family who can't get a day of peace and their neighbors in Yongju Market. </t>
  </si>
  <si>
    <t>Soo Yeol, the competent â€˜bad boy' on the police squad, regains his humanity after meeting K, the righteous but â€˜crazy' guy. Despite having a mere high school diploma, Soo Yeol is an accomplished member of the Anti Corruption Unit. He's ambitious, so he chooses pet cases of his superiors and produces their desired outcomes. Often that means turning a blind eye to injustice, especially if it stands in the way of those preferred results. With promotion time looming and without anyone's backing, Soo Yeol fears exclusion once again. Congressman Do Yoo Gon had given him some hope of advancement but dashed when the righteous but crazy K entered his life. What can go wrong when the bad boy and the crazy guy join forces?</t>
  </si>
  <si>
    <t>Features three women from different walks of life coming together for revenge: a middle-aged fish store owner who envisioned a better life for herself, a housewife, and an heiress who was raised like a delicate greenhouse flower. They're an unlikely trio who would never otherwise meet, but they join forces to carry out their individual revenge. Although they start out as co-conspirators, along the way they'll build a strong friendship.</t>
  </si>
  <si>
    <t>Detective Young Jin, from the regional investigation unit, has only one thing on her mind: to catch the 'Stigmata' serial killer that murdered her friend 19 years ago. She carries guilt and trauma over the event. She has no friends and lives alone. Her downstairs neighbor's son, Eun Ho, has built a relationship with her ever since she moved above their apartment. He does menial house chores for her. One day Eun Ho, seems to have fallen off the roof of their apartment building and left in a coma. Young Jin senses foul play and decides to take it upon herself to get to the bottom of it. With the help of Eun Ho's homeroom teacher, Sun Woo, the both begin to uncover that Eun Ho's injuries were no accident. Edit Translation  English Ð ÑƒÑÑÐºÐ¸Ð¹ Italiano EspaÃ±ol</t>
  </si>
  <si>
    <t>Kang Ji Won's marriage to Park Min Hwan is strained due to his selfishness, unemployment, and a domineering mother. Ji Won is the family's sole breadwinner and does all the household chores. When she is diagnosed with terminal cancer, her world shatters further as she discovers her husband's affair with her close friend, Jung Soo Min. A confrontation leads to her tragic death at Min Hwan's hands. However, Ji Won wakes up 10 years in the past, before she married Min Hwan. Determined to change her fate, she plots to make Soo Min marry him instead. Meanwhile, Yoo Ji Hyeok, her colleague, secretly harbors feelings for Ji Won and conceals a hidden truth.</t>
  </si>
  <si>
    <t>Living a precarious life as a part-timer at a convenience store, Ae Ri strives to support her mother who is on a waiting list for a heart transplant. Unfortunately, her mother's worsened physical condition leads her to forgo the long-awaited opportunity for the transplant, and just like that her mother disappears. Things were already chaotic enough for Ae Ri when she receives a phone call from a strange man claiming to be from the same world but 31 days in the future. Ironically, he desperately asks Ae Ri for help. Seo Jin, a father and a husband of a close-knit family, has been living a successful life as the youngest person to become a director at a construction company. One day, it all crumbles down with the kidnapping of his daughter and his wife's suicide. On the verge of breaking down, he is given an opportunity to restore everything that was lost under one condition, help from a strange woman. To bring his daughter and wife back to life, he makes a phone call as the clock strikes 10:33.</t>
  </si>
  <si>
    <t>Jang Hye Sung, a bold, sassy, thick-faced, comical, and a materialistic public defender who becomes a lawyer after overcoming poverty and painful memories from her childhood, comes to realization about society and justice after meeting Park Soo Ha, a 19-year-old boy who reads other people's thoughts and Cha Kwan Woo, an innocent lawyer who lives a disciplined life. Jang Hye Sung is actually Soo Ha's first love after she gave a decisive testimony on his father's murder case 10 years ago and Soo Ha promised to protect her from the killer's threats. Meanwhile, Cha Kwan Woo is Jang Hye Sung's fellow lawyer, a cheerful and an idealistic former cop even though his character is a bit slow, he is nice and pleasant with a firm idea of his principles and justice. Together they will team up to find the justice in the courtroom and solve the toughest cases with less than 1% chance of winning.</t>
  </si>
  <si>
    <t xml:space="preserve">Cha Dal Gun becomes an awakened tiger in the face of his nephew's death in a mysterious plane crash. As an orphan himself, he had raised his nephew singlehandedly in place of his brother who had passed on. Triggered by the large-scale cover-up of the incident, he sets off on a journey to discover the truth. </t>
  </si>
  <si>
    <t>Popular detective Moo Jin Hyuk who is filled with guilt for his wife's death, works with professional voice profiler Kang Kwon Joo, whose father is killed, to solve a different crime, chasing for the serial killer responsible for the deaths of their family members.</t>
  </si>
  <si>
    <t>Smart Female Lead, Rich Female Lead, Art Gallery, Rich Male Lead, Multilingual, Bankruptcy, Art, Eccentric Male Lead, Healthy Mains' Relationship, Male Chases Female First</t>
  </si>
  <si>
    <t>In 1987, a bloody man jumps into a women's university dormitory in Seoul. Young Ro, a female university student who falls in love with him at first sight on a group blind date, takes care of him despite the strict surveillance and dangerous situation. However, Young Ro is shocked to learn his secret. Despite heartbreakingly watching over his first love Young Ro, Soo Ho has no choice but to move according to the command in order to save his teammates and to go back to his home country where his sibling awaits. Young Ro rejects the will of her father and works hand in hand with Soo Ho to save her beloved man and her friends. What will happen to their fate?</t>
  </si>
  <si>
    <t>Stress is no stranger to the members of Marketing Team 3 of the home appliance department at the Gaus Electronics HQ. The firm is a busy, multinational company, but this is a team that most workers dream of getting out of â€“ and where chaos is no stranger! Some 10 employees make up the team. These include Lee Sang Sik, a man with a positive personality who often misjudges his coworkers' moods, causing trouble as a result! There is also Cha Na Rae, the hot-tempered assistant manager! Also among their number is Baek Ma Tan, the heir of the owners of Gaus Electronics' fiercest rival â€“ Power Group. He was born with a silver spoon in his mouth, and has never known hardship. But he shocked his entire family when he decided to join Gaus as a junior employee! His polar opposite is Geon Gang Mi, who comes from more modest origins and has always tried to pull herself up by her bootstraps â€“ pushing herself to succeed at every step (although she does have a tendency to change when she drinks alcohol!). While they seem to have very little in common at first, they slowly begin to form a bond, with possible sparks of romance in the air! Will any of the marketing team succeed in escaping? Or will they eventually find a way to quell the workplace chaos?</t>
  </si>
  <si>
    <t>Lee Yeon Seo, is a cynical and arrogant ballerina. She is the prima ballerina, but after an accident she has to give up her dream. After her parents' sudden death, she doesn't trust anyone since there are a lot of people lurking around her and her inherited money.  Because of her distrust and arrogance, she is unable to love anyone. Kim Dan is an optimistic, carefree angel who is always getting into trouble. In order to return to heaven, he is tasked with a mission to find true love for the talented but emotionally distant ballerina.</t>
  </si>
  <si>
    <t>Cheon Ji Hun is a lawyer with unusual flair. His hair has a stylish perm. His retainer is only 1,000 won despite being one of the most skilled lawyers around. He argues against the most expensive lawyers and their rich clients intent on flouting the law. Since graduating from the Judicial Research and Training Institute,  Baek Ma Ri has been the Prosecutor's Assistant. Confident and self-assured, she is also a lawyer with her grandfather Baek Hyun Mu's renowned Baek Law Firm. Ma Ri's life has been going smoothly, but her life changes when she meets Cheon Ji Hun.</t>
  </si>
  <si>
    <t>Yoon Kyeo Re is a young man who has known nothing but misery ever since he was a child. He was abused while still a boy and had a torrid time at the orphanage where he was raised. He then spent time in a juvenile detention center. And as an adult, things got no better, leading to him serving time in prison. Beatings and misery are all he knows, and he finds himself at the end of his tether, finally facing the voidâ€¦ But when he is ordered by a court to serve his community service at an end-of-life care facility for the terminally ill, things begin to change for him. Here he meets the tireless Kang Tae Shik, a middle-aged man who leads the volunteer team at the facility. Kang Tae Shik has created a unit called Team Genie, which is dedicated to granting dying patients their last wishes. No matter what people ask for, Team Genie will work their hardest to make those precious last wishes come true. He also meets Seo Yeon Joo, a young nurse who refuses to give up on her patients and tries to keep them physically active at all times. Will working at this facility help turn Yoon Gyeo Ree's life around? Or is it too late to change his destiny?</t>
  </si>
  <si>
    <t>Genius profiler Lee Hyun, returns home to Korea after something from a case he's been sent triggers a memory he thought he'd lost forever. Unbeknownst to him, one of his team members, Detective Cha Ji An, has been investigating him for some time. She is aware that his father was murdered and his brother disappeared under mysterious circumstances involving a criminal named Lee Joon Young -- whom they both want found and incarcerated. Each seeks to unravel the other, unaware that they've been drawn into a dangerous game of cat and mouse by a master player and that both truth and evil are closer and far more twisted than they think.</t>
  </si>
  <si>
    <t>The story depicts parasites that fall from space and begin to kill to gain their own power by controlling the human brain and body by living off human hosts. The story revolves around Jung Soo In, who is infected with a parasite on her hand and starts a strange cohabitation as it fails to steal her brain. Seol Kang Woo chases parasitic water to find his missing sister, and Choi Jun Kyung is the team leader of the parasitic life team â€˜The Grey' and lives only to exterminate the parasitic water after losing her husband to the parasitic water.</t>
  </si>
  <si>
    <t>Haunted by the thought that his drunkard father killed another man before also dying on the same day and not paying for his crime, Seo Do Won lives his life trying to secretly repay Han Seo Kyung for his father's sin while hiding the truth. He is now a detective who overworks to escape his guilt, and she is a prosecutor who is still looking for her father's killer. One day, Do Won stumbles upon corpses buried in an abandoned, old train station. Classifying it as a serial murder case, Do Won and the police start investigating. However, the case becomes weird when a dead victim turns up alive and Seo Kyung is killed along with the discovery of a new corpse. Realizing that the mysterious train that shows up in the abandoned station is a portal between parallel universes, Do Won travels to the other world to track the serial killer with the help of the other Seo Kyung.</t>
  </si>
  <si>
    <t>As one of the nation's most beloved stars, Gong Tae Sung is used to living his life in the spotlight. With the eyes of the world constantly on him, Tae Sung does his best to keep a smile on his face and his temper in check. Seen by the people as a kind and polite young man, the only people who don't buy into his whole good guy persona are those working for his management company. As the head of that company's PR team, Oh Han Byeol knows exactly what Tae Sung is really like. Well aware of his strong desire to win and his hot temper, Han Byeol has had to employ her excellent speech and crisis management skills on a number of occasions, in order to keep Tae Sung's reputation as spotless as it seems. Constantly bickering, there isn't anyone in the world better suited to the role of natural enemies than Han Byeol and Tae Sung. Forever at odds with each other, Tae Sung and Han Byeol seem destined to hate each other forever. But could the time they're forced to spend together change those feelings or will their mutual loathing last for all eternity?</t>
  </si>
  <si>
    <t>Oh Hyun Jin  has had a glittering career in her work life. She is the youngest member on the board of executives at the company she works at and is used to acing everything she does. But when she delivers her first child, she is in for a shock. Giving birth was far more difficult than she had expected, and she quickly discovers that although she is a dab hand at all things work-related, she hasn't got the first clue about how to bring up a baby. After being discharged from hospital, she heads to a birth care center â€“ an exclusive establishment where even A-list stars come to get postpartum care. She is dismayed to realize that she is the oldest mother in the center, and embarrassed to notice that everyone else seems to know what they are doing when it comes to looking after babies. Fortunately, the other mothers at the center prove inspirational. Among their number is Cho Eun Jung, aka the Queen Bee â€“ a seemingly perfect mother whom everyone wants to befriend in order to learn childcare secrets. And Choi Hye Sook is the charismatic center manager â€“ a veritable font of knowledge about all things childcare-related.</t>
  </si>
  <si>
    <t>What would you do if you found out that you were, in fact, a character in a comic? And an extra character on top of that? Change the course of the story, obviously! Eun Dan Oh is a 17-year-old high-school student from a wealthy family who suffers from a lifelong heart condition that inevitably means she will not live past her teenage years. However, when Dan Oh realizes she is experiencing long gaps in her memory as well, she comes into the unhappy realization of another fact in her life: she is a character in a Korean webtoon and all of her actions are predetermined by the artist who draws her. To make matters worse, she discovers she is only a supporting character in the cast. With her newfound understanding of the world she inhabits, she is determined to find true love in her own plot-line and circumvent the author's plans for her character by utilizing the flashes of storyboard she alone is able to see.</t>
  </si>
  <si>
    <t>Doctor Prisoner centers around an ace doctor in a university hospital's emergency care center, a skilled professional who treats his patients with full devotion and without discrimination. However, his medical license gets suspended as a result of a medical malpractice incident that arises when the hospital board director causes a ruckus. He then gets his certificate as a medical internist and applies to work at a prison, where his plan is to cozy up to all the bigshots thereâ€”business tycoons, celebrities caught for doing drugs, sports stars guilty of gamblingâ€”and to win allies, with the ultimate goal of getting revenge against the hospital that ousted him. To do so, he'll get rid of the existing prison chief doctor and claim the spot for himself.</t>
  </si>
  <si>
    <t>A sports romance drama that depicts the passion and affection for badminton of a male and female protagonist who is a mixed doubles group with players from the badminton business team. Park Tae Joon, who naturally wound up in the world of badminton because of his parents' badminton equipment business. Although he had begun to see the sport as work, his passion for badminton is reignited due to a desire to impress a woman. Park Tae Yang is a former aspiring Olympian who had to leave the badminton world for three years due to a bribing scandal.</t>
  </si>
  <si>
    <t>Is blood thicker than water? Kim Eun Hee, is about to find out. She is the middle child in a family that is slowly starting to drift apart. Her older sister is a former patent attorney, and her younger brother is a sensitive soul. And although her father is hard-working, he is often distant â€“ an attitude that has her mother poised to begin a new chapter in her life. While she pines for intimacy, Kim Eun Hee keeps her feelings hidden from her family. Instead, she prefers to confide in her close male college friend Park Chan Hyuk â€“ a man who has become more like a brother to her than any of her real siblings. And it is to him that she turns for love advice as she looks to return to the dating scene after a long absence. But what happens when events take a turn? Could the family pull together in time to weather the storm? And when the going gets tough, will it be Kim Eun Hee's family or her friends who step up to the plate?</t>
  </si>
  <si>
    <t>A dedicated professional, Sung Deok Mi lives for her work as an art gallery curator. Devoting herself to her work, she is exceptional in every way, save one. Beneath that cool, professional facade, Deok Mi carries a dark secret. A secret she desperately wants to keep from the world. A secret that has driven lovers away. A secret that rules every moment of her personal life... Sung Deok Mi is the ultimate Cha Shi An fangirl. The devoted manager of a Shi An fansite, Deok Mi eats, breathes, and sleeps for Shi An. He is her sun, her moon. Her entire universe revolves around him. This is the secret Deok Mi must hide from the world. And hide it she does. At least until Ryan Gold, the art gallery's new director, saunters into her life. A once famous painter, the former artist turned director considers himself an indifferent being, unconcerned with the lives of others. But when he uncovers Deok Mi's secret, everything changes.</t>
  </si>
  <si>
    <t>A man who does not believe in love, falls for a woman who has been hurt by it. Min Hyuk is wealthy, with everything but a good personality, He's been enraged and consumed by the need for revenge, ever since he learnt his lover was the victim  of a hit-and-run accident. Yoo Jung takes the blame for her boyfriend, the actual driver at the time of the accident. In time, she will feel betrayed for having done so. Now in prison and in a state of despair, Jung still refuses to give up on life entirely.</t>
  </si>
  <si>
    <t>Do Bae Man became military prosecutor only to make more money and be successful. On the other hand, Cha Woo In, recently joining Bae Man's team, became one for her revenge. As these two different purposes shows, the two have very different backgrounds and personalities. However, as they work on the same case, Bae Man and Woo In help each other and even grow together as fine military prosecutors.</t>
  </si>
  <si>
    <t>After suffering a painful breakup, Yu Mi's love cells have shut down completely, but a chance meeting with the emotionally stunted game designer, Goo Woong, changes all of that. Waking up a number of each other's cells, Yu Mi and Goo Woong find themselves drawing closer, but even with the revival of their long-dormant love cells, their relationship wasn't destined to last. Now a much wiser and more mature individual, Yu Mi finds herself willing to take on a set of challenges after an unexpected source of inspiration ignites her internal fire. Inspired by her co-worker, Bobby Yoo, Yu Mi and her hard-working cells set out to make all of her dreams come true.</t>
  </si>
  <si>
    <t>How can a mermaid from the Joseon era survive in modern society? Shim Chung is a mermaid who follows her one true love, a nobleman's son named Kim Ryung from the Joseon Dynasty, to modern-day Seoul. Ryung's modern doppelgÃ¤nger is Heo Joon Jae, a highly skilled scam artist who first becomes interested in Shim Chung because of a jade bracelet worth $6 million that Shim Chung wears. With nowhere to go, Shim Chung is taken in by Joon Jae, who also finds his con partners, Jo Nam Doo and Tae Oh, hiding out in his home from a vengeful past victim of their scams. Shim Chung discovers a rival for Joon Jae's heart in Cha Shi Ah, a researcher at KAIST who deals with ancient artifacts. When a dangerous killer named Ma Dae Yeong, sent by Joon Jae's stepmother who wants to make her own son the heir to Joon Jae's fortunes, can Shim Chung survive her strange new environment while also helping Joon Jae avoid the dangers that await him?</t>
  </si>
  <si>
    <t>Ban Ji Eum has the ability to remember all her past lives, living through countless reincarnations for nearly a thousand years. After a tragic accident ends her previous life, she seeks to reconnect with the people from that life, focusing on Moon Seo Ha, whom she met in her 18th life. As she navigates her 19th life, will memories of her past hinder her romance, or can love endure across lifetimes? Meanwhile, Yoon Cho Won, a landscape architect and the younger sister of Yoon Joo Won, struggles to maintain her brightness after her sister's death. Upon meeting Ban Ji Eum, she sees her sister in her and becomes curious about Ban Ji Eum's identity. Ha Do Yoon, Moon Seo Ha's childhood friend and secretary, feels a mysterious connection with him, despite their different backgrounds.</t>
  </si>
  <si>
    <t>Lee Yul, Crown Prince of Joseon, is a perfectionist who disregards most royal palace nobles. His cold and demanding demeanor masks deeply-rooted loneliness. He comes to pass a law stating that Korean citizens of marriageable age must wed before the age of 28. Hong Shim is a strong, intelligent woman who supports herself and her father. After an attempt on his life, Crown Prince Lee Yul is severely injured and finds himself under the care of the Hong household. He's experiencing temporary amnesia, and now unaware of his identity, he is free to wander at will as a commoner. Due to the law, he himself passed, Hong Shim, now the oldest unmarried woman in her village, must marry or face punishment from officials. Lee Yul proposes to Hong Shim that they ought to marry. Can their budding romance withstand Lee Yul's eventual recovery, with his memory fully intact?</t>
  </si>
  <si>
    <t>Ji Eun Su is a woman who appears to have it all. Married into a super-rich family, she assumes that the rest of her life will be an easy ride. But when her husband is murdered, she is sent to prison â€“ with a court finding her guilty of killing her spouse. However, this will be no straightforward jail sentence: She is pregnant, and gives birth to a baby girl while still behind bars. The child is taken away from her and given to foster parents, with her adoptive father Kang Ji Min, a kind-hearted, justice-loving journalist. When Kang Ji Min finds himself alone and taking sole care of the young girl, Ji Eun Su â€“ now free from prison â€“ concocts a plan that she believes will reunite her with her daughter. She will find a way to win Kang Ji Min's heart â€“ and become her own daughter's stepmother. But the truth has a way of coming outâ€¦and if it does, how will her new family react?</t>
  </si>
  <si>
    <t>Bong Sun, a timid young woman, is possessed by the ghost of a lustful virgin. She has zero self-confidence, and because of her extreme shyness, she doesn't have any close friends. At the restaurant where she works as an assistant, she's not particularly good at anything, and mostly just gets yelled at a lot. Her grandmother was a shaman so from a young age she's been able to occasionally see ghosts, though it's not until she meets the lascivious ghost that she gets possessed totally. Sun Woo is a conceited star chef who's overflowing with confidence in his food and his skills. Bong Sun harbours a secret crush on him, though he doesn't take much notice of her for two reasons: because he's always surrounded by women and because he's hung up on an old flame. But then one day, Bong Sun starts acting differently, shedding her mousy personality, and ends up constantly on Sun Woo's mind.</t>
  </si>
  <si>
    <t>Mo Seok Hee is the sole daughter of the MC Group business empire. Financially, she wants for nothing. However, all is not well with her. She is haunted by the passing of her mother, who died in mysterious circumstances a decade and a half ago. Ever since her mother's death, she has been living in the United States, apart from her father. But when she makes the fateful decision to return home to South Korea, her life is sent into a tailspin â€“ along with the fortunes of the MC Group. Back in South Korea, she meets Heo Yoon Do, a lawyer from a humble background. Heo Yoon Do has been hired by the MC Group as a member of the TOP crisis management team that helps cover up misdemeanors committed by the Mo family. Together the duo builds an unlikely friendship and embarks on a quest to uncover the truth about the death of Mo Seok Hee's mother. Will Mo Seok Hee and Heo Yoon Do uncover the dark truth behind a death that took place 15 years ago? What other secrets is the MG Group hiding? And could working together lead the duo to romance?</t>
  </si>
  <si>
    <t>The story of a man named Gong Joon Soo who sacrificed himself by pretending to be a murderer to protect his younger stepbrother from being accused instead. While serving time in prison, he learns to sew and acquires a trade. Following his release, he starts working in a fashion company that is a part of BY Group. There he meets the workaholic Na Do Hee, the heiress of her grandfather's company. Na Do Hee falls in love with Gong Joon Soo as both of them get to understand each other and cure their wounds.</t>
  </si>
  <si>
    <t>Known as an enthusiastic and impressively effective detective, Jin Kang Ho will stop at nothing to catch the criminals he's assigned to pursue. Using any means necessary, Kang Ho goes above and beyond the call of duty to bring in the bad guys. While his gung ho attitude makes him an outstanding detective, it makes getting along with his colleagues a bit difficult. With a passion for solving the unsolvable cases, Kang Ho finds it's better to work alone. Or so it was, until the day he met Kang Moo Young. The overly zealous producer of a low-rated investigative program, Moo Young is as enthusiastic about solving cases and catching criminals as Kang Ho. Sharing such an intense passion for their work, the two agree to team up, working together to make the world a better place. Soon joined on their quest to better the world by a former criminal profiler, a bar CEO and legendary fist-fighter who has chosen to put his past behind him, and a funeral director who once headed up the ace autopsy team at the National Forensic Service, this ragtag team soon become an unstoppable force in the world of crime-fighting.</t>
  </si>
  <si>
    <t>Hyena' deals with very competitive, private lawyers who only work for the richest 1% of society.  Lawyer Jung Geum Ja crosses the boundaries of law and lawlessness, justice and injustice, ethics and corruption. She is a true hyena that chases after success and money no matter what it takes. Armed with the strongest survival instincts, she endures through it all.  Yoon Hee Jae is a successful, elite lawyer. Confident in his abilities, he possesses a brilliant mind that is wrapped around his ego. Using his skills to support the highest in the land, he's an expert at maneuvering the law to cater to their needs.</t>
  </si>
  <si>
    <t>Whatever gets the job done. Bong Sang Pil  grew up living the gangster life, full of tough physical fights and evading the law. When his mother dies a tragic death, he is determined to avenge her death. Sang Pil becomes a lawyer and begins to go after people with absolute power who think they are beyond the law. With the cunning and skills from his previous life, Sang Pil uses both his fists and legal loopholes to amass an impressive winning record. Ha Jae Yi is a young lawyer who believes the law is sacred and fights for justice. But her license gets suspended when she hits a judge over an unjust ruling during a trial. Jae Yi ends up going to work for Sang Pil so that she can continue to pay off her father's debts. When Sang Pil and Jae Yi get involved in a case that involves Cha Moon Sook, a senior judge who wields a great deal of power, and Ahn Oh Joo, a former gangster who is now the CEO of a corporation, can they figure out a way to beat the most powerful people in the city at a very dangerous game?</t>
  </si>
  <si>
    <t>No Go Jin is the most popular mathematics instructor in the private education field and the CEO of GOTOP Education. Even though he has only a high school level education, he has achieved all of his success due to his extreme intelligence. He seems like a perfect man with a handsome appearance, high IQ, and wealth. He is also narcissistic. One day, he is suddenly warned that he will be murdered. Lee Shin A works as No Go Jin's secretary. She is a diligent and responsible employee. Due to her quiet and introverted personality, she has little presence with her boss No Go Jin and her colleagues at work. Her colleagues begin to recognize her, because she has worked for the notorious No Go Jin for more than 1 year. She then learns that she does not have much time left to live.</t>
  </si>
  <si>
    <t>A 26-year-old man's life is turned upside down when he is diagnosed with terminal stomach cancer. As he struggles with the pain of his treatment and the realization that he never truly lived, he retreats into his imagination, to a magical forest where answers and miracles can be found.</t>
  </si>
  <si>
    <t>Tae Kyung is a 18-year-old high school student. He is also a lifelong loner. But one day, he starts questioning his own judgment and tells a teacher that he no longer wishes to be alone. The problem is, he has no idea how to start going about making new friends. The teacher advises him to join the school's student council. He agrees, but discovers that making friends may be harder than it seems. He meets the Vice President of the council, Shin Woo, who is cool and level-headed, but also somewhat cold toward him and reluctant to accept Tae Kyung. However, he also meets the super-attractive President of the council: Da On, who appears to take an instant shine to him. The beginnings of a romance appear to be in the cards for Da On and Tae Kyung, but Shin Woo does not seem to approve. Matters are further complicated by the fact that Da On's close female friend â€“ who secretly loves Da On â€“ is jealous of their closeness, and attempts to drive a wedge between them!</t>
  </si>
  <si>
    <t>An unprecedented 6.5-magnitude earthquake has struck Seoul, destroying roads and buildings, and preventing ambulances from reaching victims. Woefully unprepared for such a massive disaster, Korea can only watch the desperate situation and listen to the pleading cries for help. Hae Sung, a competent surgeon, can't resist doing everything he can to help the injured people during the emergency. This upsets his hospital and they put him on a blacklist, as his benevolent help is against the hospital's profit. Ddol Mi, beautiful and ambitious, chased money and fame as a doctor, but now wants to become a truly compassionate doctor after meeting Hae Sung. Woo Jin has been building a successful career as Korea's rising doctor, but secretly, he truly cares about being a genuine doctor, saving the lives of the sick. These three characters team up to rush into emergencies, holding onto hope in the most desperate situations, and taking all sorts of risks for the sake of saving lives.</t>
  </si>
  <si>
    <t>It's been nearly thirty years since one small village was plagued by a mysterious string of events that shook it to its core. While the events were never fully understood, nor the mystery behind them solved, the stories surrounding the village slowly faded, drifting into obscurity amidst the steady passing of time. But when a new string of mysterious incidents begin to take place, memories long-forgotten begin to resurface, and this time, the villagers' cries for help will not go unheard. A legend among his peers, Do Jung Woo is the leader of one of the National Police Agency's special task forces. While his outward appearance likens him more to an unruly child than a legendary officer, his keen insight and quick wit make him more than capable of solving any crime. After reports of numerous mysterious incidents begin to filter in, Jung Woo springs into action. But this isn't a mystery he's allowed to solve on his own. Working alongside Jung Woo, Officer Gong Hye Won refuses to let anything stand between her and what she wants. Tenacious and hot-tempered, she's determined to solve every case, by any means necessary, and this case is no exception. Joined by Jamie, a detective on loan from the FBI, Jung Woo and Hye Won set out to unravel the present mysteries of this small village. But they soon realize that the incidents of the present tie strongly to those of the past. Will this team of experts be able to solve a case nearly thirty years in the making?</t>
  </si>
  <si>
    <t>This drama is about the love story between King Jung Jong and his Queen Dan Kyung, who was crowned and deposed within the span of a week due to rival political factions that controlled the king's rule. According to historical legend, after the queen was dethroned and removed from the palace, the king would walk to the outside royal pavilion every day and sigh as he gazed at a mountain in her direction. After hearing this, she placed a red skirt, her favorite to wear in the palace, on a rock on the mountain face so he would know that she was well and that she still yearned for him.</t>
  </si>
  <si>
    <t>Park Tae Suk is a lawyer who finds out that he has Alzheimer's and puts his life on the line to fight one last case. The drama depicts his vigorous efforts trying to protect the precious value of the life and family love, while his memory starts fading away.</t>
  </si>
  <si>
    <t>A serial killer with an enhanced hearing ability, identical to Kang Kwon Joo, appears and starts murdering people using it. Because of this, Kang Kwon Joo is driven into a corner and she decides to cooperate with Detective Derek Cho to catch the serial killer. Derek Cho, a person of principle who doesn't allow mistakes, is a team leader from the LAPD (Los Angeles Police Department)</t>
  </si>
  <si>
    <t>Shin Cha Il, the sharp and distrustful leader of JU Construction's audit team, tackles rampant corruption. Rookie Gu Han Soo joins the team, hoping for a transfer to Florida, but finds himself challenged by Shin Cha Il. Despite their differences, he grows under his boss's strict guidance. Meanwhile, ambitious vice president Hwang Dae Woong, the founder's third son, schemes to outmaneuver his brothers for the company's presidency. Rookie auditor Yoon Seo Jin, an individualist striving for success, shares a hidden past with Hwang Dae Woong but keeps their connection secret at work.</t>
  </si>
  <si>
    <t>Older Woman/Younger Man, Teacher Male Lead, Cram School, Smart Male Lead, Workaholic Male Lead, High School, Asperger's Syndrome, Hardworking Male Lead, Mental Illness, Age Gap [Real Life]</t>
  </si>
  <si>
    <t>After a tragic accident, a skilled fixer, Hwang Do Hee, uses her expertise to turn civil rights lawyer Oh Kyung Sook into the next mayor of Seoul and take down her former employer. Hwang is a top consultant at Eunsung Group, using her knowledge of the owner's family to manage risks, while Oh is a determined labor rights lawyer and popular YouTuber. Despite their different backgrounds, the two women join forces to create a just and truthful world.</t>
  </si>
  <si>
    <t>Heir Goo Won, known for his brilliance and charm, despises fake smiles but is captivated by Cheon Sa Rang's genuine one. As they bond over their shared desire for true happiness, Goo Won is thrown into an inheritance battle at King of the Land, an exclusive lounge owned by The King Group. Cheon Sa Rang, with her radiant smile, lands a job at King Hotel, a place full of childhood memories. However, she must set those memories aside and quickly adapt to the challenges and prejudices she faces at work.</t>
  </si>
  <si>
    <t>In a quiet, forgotten corner of the city lies a mysterious photo studio, one that caters exclusively to an unusual clientele: ghosts. Seo Ki Joo, the 7th generation owner, is bound by a family curse to run this spectral business. Armed with a special camera, Ki Joo fulfils the last desires of the departed, capturing their images and granting them peace to move on. But his family's legacy comes with a dark fateâ€”none have lived beyond their 35th birthday. Ki Joo's life takes an unexpected turn when Han Bom, a passionate lawyer with an unyielding sense of justice, enters the picture. Recently fired from her position as a prosecutor for being too relentless in her pursuit of truth, Bom now struggles to make ends meet. In a twist of fate, she forms a partnership with Ki Joo, and together they bring justice for both the living and the dead. The studio is also home to two unique employees: Assistant Manager Go, whose role is to attract ghostly customers, and Baek Nam Gu, a former cop who handles everyday chores. Together, this unlikely team navigates the delicate balance between the living and the dead, uncovering hidden truths and resolving unfinished business for their ethereal clients.</t>
  </si>
  <si>
    <t>Kang Han Su, a cunning lawyer who exploits clients for personal gain, gains a reputation as a hero among the public. Over time, he matures into an ethical lawyer, with his client Yi Yun Juâ€”initially seeking revengeâ€”becoming an ally in his mission to uphold justice and defend the innocent. This transformation highlights Kang's growth both professionally and personally.</t>
  </si>
  <si>
    <t>Moon Ju Ran, a housewife married to a doctor, lives a peaceful life in her family's wealthy home. Her routine is disrupted when she notices a strange smell in the backyard, prompting her to investigate her husband and meet Chu Sang Eun. Chu Sang Eun, from a poor background, lives in a shabby apartment with her abusive husband, Kim Yun Beom, who works for a pharmaceutical company. Her life is filled with hardship until she receives news of her husband's death.</t>
  </si>
  <si>
    <t>A professional thief, "Skunk" (real name Hwang Dae Myung), forms an unofficial team, "Team Karma," to recover stolen cultural assets, embarking on a massive heist to retrieve 30 trillion won worth of treasures and spiritual beads that promise eternal life. The mission is illegal yet morally justified, as they confront a ruthless group. By day, Dae Myung is a modest civil servant at the Cultural Heritage Administration, but by night, he's a daring thief. As the Seoul Metropolitan Police recovers missing assets, both of his lives begin to unravel.</t>
  </si>
  <si>
    <t>Baek Je Na is a third-generation conglomerate and a gold spoon of the highest class at Cheongdam International High School. Kim Hye In grew up in poverty and is offered a chance to study at the Cheongdam International High School in exchange for her silence on a murder she witnessed. Cheongdam International High School is a homicide mystery that follows Je Na's rivalry with Kim Hye In as they are pitted against each other in mental warfare.</t>
  </si>
  <si>
    <t>Set in 1960s South Korea. The series follows two men through their bromance and the obstacles they face during a turbulent time in the country's history. It depicts the story of Park Doo Chil, who is known as Uncle Samsik, who always has three meals a day, even during the war, and Kim San, an elite man from the Korean Military Academy, who wants to create a country where everyone lives well.</t>
  </si>
  <si>
    <t>Song Ki Baek is single and 33 years old. He works as an announcer at a broadcasting station. People consider him an ideal announcer. He is polite and well-mannered. One day, Song Ki Baek suffers from a disease which causes him to speak without thinking first. He now faces the biggest crisis of his life. Meanwhile, On Woo Joo is an enthusiastic TV variety show writer. She becomes interested in Song Ki Baek's harsh language, and she gets him to appear on her variety show.</t>
  </si>
  <si>
    <t>The days of burning with sexual desire and lusting after each other's bodies are long gone, and Woo Jin and Samuel have evolved into a somewhat withered couple, both physically and emotionally. By coincidence, they find themselves forming a blackmail team that specializes in exposing cheating couples, seeking an opportunity to turn their lives around.</t>
  </si>
  <si>
    <t>Office politics take center stage for marketer Park Yun Jo, whose lack of an academic background won't deter her dedication to her work, and the smart and just Ryu Jae Min, who lacks any expectations towards their company.</t>
  </si>
  <si>
    <t>Oh Young Sim, a 30-something TV variety show PD, has struggled with low ratings and cancelled shows. In a career crisis, she gets a chance to produce a love entertainment pilot, casting famous start-up founder Mark Wang. To her surprise, he is Wang Kyung Tae, a childhood acquaintance who once had a crush on her. Though she didn't feel the same, they lost contact after he moved to the U.S. Now, 20 years later, Wang Kyung Tae returns as CEO Mark Wang. PD Lee Chae Dong, her supportive colleague, and her friend Goo Wol Sook, who runs a popular YouTube channel, are also part of her life.</t>
  </si>
  <si>
    <t>Geu Roo is a young autistic man. He works for his father's business "Move To Heaven." Their job is to arrange items left by deceased people. One day, Geu Roo's own father dies. Geu Roo is left alone, but his uncle Sang Koo suddenly appears in front of him. Sang Koo is a cold man. He was a martial artist who fought in underground matches. He went to prison because of what happened at his fight. Sang Koo now becomes Geu Roo's guardian. They run "Move To Heaven" together.</t>
  </si>
  <si>
    <t>A suspenseful story that asks the key question, "What if we could identify psychopaths in advance?" A crazed serial killer's ruthless murders have left the entire nation gripped with fear, and chaos reigns. Justice-seeking rookie police officer, Jung Ba Reum, comes face to face with the killer. While he survives his dangerous encounter with the psychopath, Jung Ba Reum finds his life completely changing before his eyes.</t>
  </si>
  <si>
    <t>Ji An's life takes a wild turn when she gets a call from the cops about her uncle's "suicide," but she knows something's off. Raised by her mysterious uncle Jung Jin Man after her parents' death, she never imagined him as suicidal. Before she can process it, she's suddenly under attack by assassins, drones, and gunfire. Trapped in her uncle's house, Ji An has to tap into the strange training he gave her as a kid if she's going to survive and figure out what's really happening.</t>
  </si>
  <si>
    <t>A "real doctor" story set in a small, humble hospital called Doldam Hospital. It is a story about people who meet Kim Sa Bu, a genius doctor, and discover "real romance."</t>
  </si>
  <si>
    <t>Kim Sa Bu was once a famous surgeon at the peak of his career at a major hospital. But he suddenly gives it all up one day to live in seclusion and work as a neighborhood doctor in a small town. He now goes by "Teacher Kim" and refers to himself as the "Romantic Doctor". Meanwhile, Kang Dong Joo became a doctor to make something of himself after growing up poor, and he seeks out VIP patients to achieve the success that he desperately wants. Yoon Seo Jung is a passionate young surgeon who is haunted by a mistake from her past and tries to get over it. When Dong Joo and Seo Jung meet the quirky Teacher Kim, their lives and careers will never be the same again. Edit Translation  English EspaÃ±ol FranÃ§ais Italiano</t>
  </si>
  <si>
    <t>Three very different young men â€“ Dong Goo, the bad luck incarnate who dreams of becoming a film director, Joon Ki, an eccentric actor who performs to make a living, and Doo Shik, a freelancer writer who fiddles around doing nothing most of the time - open a guest house named "Waikiki" in Itaewon where many foreigners come to stay.  Although they have no clue how to run it, they're eager to earn money to pay for the production of their upcoming film.</t>
  </si>
  <si>
    <t>"Mystic Pop-Up Bar" is based on a popular webtoon of the same name and tells the story of a mysterious pojangmacha (outdoor drinking establishment) run by a prickly woman and an innocent part-timer who visit customers in their dreams to help resolve their problems.</t>
  </si>
  <si>
    <t>"The culprit who is posing as a royal official is not stealing wealth. He is stealing the hearts and minds of your people, Your Majesty." There was a divisive figure in the Joseon Dynasty who was a hero to the people but an enemy to the establishment. His name was Hong Gil Dong. King Yeonsangun had royal lineage but was reviled by his people while Hong Gil Dong was born as a slave but succeeded in winning over the hearts of the commoners. The struggle between these two men demonstrate the qualities that a true leader needs. This TV series portrays the life of Hong Gil Dong who survived in a hostile and tyrannical kingdom as he waged a fight against the powerful elites.</t>
  </si>
  <si>
    <t xml:space="preserve">"Doctor John" is a medical drama about doctors specializing in pain management. In a refreshing take on the genre, "Doctor John" will portray the doctors' search for the cause of their patients' mysterious pain as a thrilling chase, almost like a detective hunting down the perpetrator behind an unsolved crime. </t>
  </si>
  <si>
    <t>About two people with their own painful stories who go through a complicated process of hurting and healing while falling in love with each other. No Hwi Oh is a detective in the violent crimes division of the Gangnam Police Station. He thinks that he is doing well until his life suddenly takes a turn and he becomes a "crazy" person who can't hold in his anger about anything. Lee Min Kyung is a woman who is caught up in her own delusions and compulsions. She had lived an ordinary life as a pretty woman with a respectable job until "that incident" that caused everything in her life to break down. As a result, she was unable to trust anyone and is caught in a prison of her own making. Her delusions also have the unfortunate side effect of making everyone else around her angry.</t>
  </si>
  <si>
    <t>"Extracurricular" is centered around four high school students who start committing crimes to earn money and the unpredictable dangers they face as a result. Ji Soo, who goes from a model student to a criminal after committing an unthinkable act. Jung Da Bin as school bully Min Hee, who gets caught up in Ji Soo's crime. Park Joo Hyun will portray Ji Soo's dangerous partner in crime Gyu Ri, while Nam Yoon Soo will appear as Min Hee's boyfriend and the school's most popular guy Ki Tae.</t>
  </si>
  <si>
    <t>Listen closely, because skilled voice profiler Kang Kwon Joo is back. Working tirelessly at the Emergency Call Center, she uses her first-rate hearing to save lives and catch culprits. When it comes to responding to emergencies within the vital "golden time," Kang Kwon Joo is simply the best. Do Kang Woo is a mysterious man who's able to tap into the mind of a criminal. He also hides a secret pain that he doesn't share with anyone. When he meets Kang Kwon Joo, they reluctantly form a team. She can hear crime</t>
  </si>
  <si>
    <t>Cha Cha Woong is a popular if somewhat sardonic stage and TV magician with a taste for the spectacular. His tricks dazzle audiences, but little do most people know â€“ he has a gang of secret helpers! However, these are no ordinary magician's assistants: They are actually ghosts. But Cha Cha Woong is not afraid of beings from the spirit realm â€“ in fact, he treats them as his employees...and they, in turn, believe him to be their "boss." One day, his path crosses with that of Go Seul Hae, a young, passionate police officer. He attempts to brush her off when she investigates an incident connected to one of his magic shows. But she soon realizes that the magician's unusual abilities could be the perfect crime-fighting tool. She manages to convince him to join the police force in its efforts to catch fiendish criminals â€“ and use his ghostly retinue to help foil evil masterminds! But in the course of their unorthodox partnership, could romance also make an appearance on the scene?</t>
  </si>
  <si>
    <t>The idealistic Choi In Ha has her work cut out for her when she becomes a broadcast reporter, especially when she suffers from a condition known as "Pinocchio syndrome," which makes her break out into hiccups whenever she tells a lie. Her rookie colleagues include Choi Dal Po, whose shabby appearance masks his true eloquence and sharp memory</t>
  </si>
  <si>
    <t>Five girls in their 20s share a house called Belle Ã‰poque. A year has passed since "Hello, My Twenties 1." Each of them got a job, went back to school, is still trying to get a boyfriend, or is getting over her first breakup. One day, a new student arrives at the house with a letter she stumbled upon. The letter is filled with curses against one of the girls at Belle Ã‰poque.</t>
  </si>
  <si>
    <t>Kim Woo Jin is a stage drama writer while Korea is under Japanese occupation. He is married, but he falls in love with Yun Shim Deok. Shim Deok is the first Korean soprano. She records the song "Praise of Death" which becomes the first Korean pop song in 1926. Woo Jin and Shim Deok's fate ends tragically.</t>
  </si>
  <si>
    <t>In the second season of "Vampire Prosecutor," Min Tae Yeon is back as the prosecutor who heads up a new division that investigates unsolved murder cases. No one, except for Detective Hwang Soon Bum, knows that Tae Yeon was bitten seven years ago and acquired vampire powers. Together, they solve murder cases, and each time Tae Yeon uses his "powers" to find leads on cases that seem unsolvable. But the one thing he can't solve is: who was the vampire/serial killer that turned him seven years ago? And what happens when Jung In becomes suspicious of Tae Yeon's "questionable" tactics in solving cases.</t>
  </si>
  <si>
    <t>Kim Hee Woo came from an inauspicious start as a low-grade high schooler to work his way up through university and finally pass the bar examination. His relentless hard work has finally paid dividends, and he has become a public prosecutor. During the course of his investigations, he must conduct a probe into a politician suspected of corruption. But his investigation is abruptly ended when a mysterious man kills him. However, he later comes to, finding that he is actually alive. Restored to the mortal realm, he finds that he must return to university and complete his academic journey again â€“ while he tries to discover the truth about what happened to him. On his journey, he encounters Kim Hee Ah, an exceptionally intelligent young woman who also happens to be the youngest daughter of the family that owns the wealthy Cheonha business group. As Kim Hee Woo and Kim Hee Ah intensify their search for answers, they discover that a shady cabal of rich power brokers may have played a part in his "death."</t>
  </si>
  <si>
    <t>The plot centers on a group of people who find their ordinary lives thrown into chaos due to a family tragedy. They monitor criminals 24 hours a day and rescue potential victims before the crime is committed. They also embarrass corrupt state prosecutors and make sure that criminals are punished for their crimes. This TV show illustrates the current society where the simple rule of going to jail if you break the law no longer applies to those in power. Illustrating the tragic lives of the Watchmen group who channel their anger and grief into fighting for justice, "The Guardians" will have stylistic action scenes and a thrilling plot.</t>
  </si>
  <si>
    <t>"Welcome 2 Life" is a fantasy drama that will tell the story about a selfish lawyer who helps people who want to take advantage of the law. One day, he gets sucked into a parallel universe due to an unfortunate accident and begins to live a completely new life as an upright prosecutor.</t>
  </si>
  <si>
    <t>"Mine" is about strong and ambitious women who overcome the world's prejudices in order to find their true selves. Seo Hee Soo was a former top actress, but she gave up her career to marry the second son of Hyo Won Group. She does her best to fit in as a daughter-in-law of that family. She acts confidently all the time to not to lose her true self. Jung Seo Hyun, on the other hand, is married to the first son of the same chaebol family. She is also the daughter of a chaebol family and is elegant, intelligent, and also very rational.</t>
  </si>
  <si>
    <t>"Payback" follows the revenge story of a group of peopleâ€”including Eun Yong, a money traderâ€”who refuses to remain silent in the face of unjust authorities and fight against a cartel conspiring with the law.</t>
  </si>
  <si>
    <t>After resigning from a big company, Lee Joon Ho returns to the academy where he'd studied, this time as an instructor. He's motivated by his lingering fixation on his first love, academy teacher Seo Hye Jin. Seo Hye Jin has been a Korean language instructor for the past fourteen years. She became a star after the legendary incident labelled "Miracle of Daechi." Just when her life begins to feel settled, former pupil and troublemaker Lee Joon Ho, whom she'd helped get into a prestigious university ten years previously, shows up and stirs up chaos.</t>
  </si>
  <si>
    <t>Do Jae Yi is a human rights lawyer who has built up a large following on social media. She has a reputation for defending the vulnerable and victims of sexual crime. Ten years ago, she was the victim of a terrible, haunting crime. Now, she has become a veritable "queen of masks." To most of the world, she is a paragon of justice. But behind closed doors, she is exploiting a corrupt politician. And she is secretly helping the current mayor to get out of messy situations â€“ as part of her own plan to become the next mayor.Do Jae Yi is friends with two powerful women. The first is Joo Yoo Jung, the director of an influential arts foundation. The second is the hard-working and ambitious Yoon Hae Mi, who worked her way up from the bottom at a prestigious hotel to the position of Vice President. The three women's former friend, Go Yoo Na feels she was betrayed by the rest of the women. She moved to the USA in a bid to start her life again. But when she returns to South Korea in search of her missing daughter, her path crosses with those of her former friends. Could revenge be in the cards when they reunite?</t>
  </si>
  <si>
    <t>KBM Reporter Seo Jung Won is known as the Villain Hunter. Her show, "Nothing Uncovered," reports about the villains who provoked the public, and her sharp comments made the show popular, making Jung Won a star reporter. However, she gets involved in a shocking incident that drags her down to the bottom, and she has to team up with her ex-lover, Kim Tae Heon. Tae Heon is a detective at Gangha Police Station, and he has to do everything his way. He meets Jung Won while investigating a case and gets confused by their reunion. Woo Jae is Jung Won's husband, and he's a famous mystery writer from a wealthy family. Although he's a romantic who's willing to do anything for Jung Won, he has been secretly hiding his wounded heart. And now, the three are deeply involved in serial murders.</t>
  </si>
  <si>
    <t>Oh Ha Ra is a hotshot divorce lawyer whose nickname in legal circles is "the "goddess of litigation." One of the reasons she is such a dab hand at divorce proceedings, perhaps, is the fact that she has divorced her long-time lover and fellow lawyer Goo Eun Beom. But her relatively uneventful life is turned upside down when she is unexpectedly reunited with her ex-husband â€“ in the law courts! The duo is forced to work together â€“ leading them to butt heads and reignite past grievances. While their professionalism prevents them from telling each other what they really think in public, tempers begin to fray...and risk boiling over. The tense atmosphere is not relieved in the slightest by fellow divorce lawyers Kang Bi Chwi and Kwon Si Wook, another pair of advocates who always seem to get under one another's skin! Will Cupid rescue this group of lawyers â€“ or will chaos break loose in the courtroom?</t>
  </si>
  <si>
    <t>: Melakukan Cleaning dengan Find &amp; Replace mengubah â€™ menjadi ' (apostrof) pada kolom description</t>
  </si>
  <si>
    <t>Inconsistent Value</t>
  </si>
  <si>
    <t>Inacurrate Value</t>
  </si>
  <si>
    <t>: Melakukan validasi data (Random Sampling) pada 5 judul populer (Goblin, Reply 1988, dll). Data ditemukan sudah akurat sesuai fakta.</t>
  </si>
  <si>
    <t>Outlier</t>
  </si>
  <si>
    <t>: Tidak ditemukan outlier</t>
  </si>
  <si>
    <t>Data Cleaning</t>
  </si>
  <si>
    <t>Dropping</t>
  </si>
  <si>
    <t>Imputation</t>
  </si>
  <si>
    <t>Interpolation</t>
  </si>
  <si>
    <t>Standardization</t>
  </si>
  <si>
    <t>: Ditemukan 5 data kosong pada kolom genre, tags, dan actors.</t>
  </si>
  <si>
    <t>: Ditemukan simbol â€™ pada kolom description</t>
  </si>
  <si>
    <t>Type Conversion</t>
  </si>
  <si>
    <t xml:space="preserve">: Ditemukan format kolom year of release, number of episode, dan rating dengan format general. </t>
  </si>
  <si>
    <t>: Tidak ditemukan data duplikat dan outlier</t>
  </si>
  <si>
    <t>: Tidak diterapkan. Metode ini dievaluasi tidak cocok untuk dataset kategori (nominal) seperti Judul Drama, karena tidak memiliki kontinuitas antar baris (bukan data time-series)</t>
  </si>
  <si>
    <t>Mini Task 2 — Statistik Dasar &amp; Data 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</si>
</sst>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10" xfId="0" applyBorder="1" applyAlignment="1">
      <alignment horizontal="center"/>
    </xf>
    <xf numFmtId="0" fontId="0" fillId="0" borderId="10" xfId="0" applyBorder="1"/>
    <xf numFmtId="2" fontId="0" fillId="0" borderId="10" xfId="0" applyNumberFormat="1" applyBorder="1"/>
    <xf numFmtId="1" fontId="0" fillId="0" borderId="10" xfId="0" applyNumberFormat="1" applyBorder="1"/>
    <xf numFmtId="0" fontId="0" fillId="0" borderId="10" xfId="0" applyBorder="1" applyAlignment="1">
      <alignment horizontal="left" vertical="center"/>
    </xf>
    <xf numFmtId="0" fontId="0" fillId="0" borderId="10" xfId="0" applyBorder="1" applyAlignment="1">
      <alignment horizontal="left" vertical="center" wrapText="1"/>
    </xf>
    <xf numFmtId="0" fontId="0" fillId="0" borderId="10" xfId="0" applyBorder="1" applyAlignment="1">
      <alignment wrapText="1"/>
    </xf>
    <xf numFmtId="1" fontId="0" fillId="0" borderId="0" xfId="0" applyNumberFormat="1"/>
    <xf numFmtId="1" fontId="0" fillId="0" borderId="0" xfId="0" applyNumberFormat="1" applyAlignment="1">
      <alignment horizontal="right"/>
    </xf>
    <xf numFmtId="0" fontId="0" fillId="0" borderId="10" xfId="0" applyBorder="1" applyAlignment="1">
      <alignment vertical="center"/>
    </xf>
    <xf numFmtId="0" fontId="0" fillId="0" borderId="10" xfId="0"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33" borderId="10" xfId="0" applyFill="1" applyBorder="1" applyAlignment="1">
      <alignment horizontal="center"/>
    </xf>
    <xf numFmtId="0" fontId="0" fillId="0" borderId="10" xfId="0" applyBorder="1" applyAlignment="1">
      <alignment horizontal="left" wrapText="1"/>
    </xf>
    <xf numFmtId="0" fontId="18" fillId="0" borderId="0" xfId="0" applyFont="1" applyAlignment="1">
      <alignment horizontal="center"/>
    </xf>
    <xf numFmtId="2" fontId="0" fillId="0" borderId="10" xfId="0" applyNumberFormat="1" applyBorder="1" applyAlignment="1">
      <alignment horizontal="center"/>
    </xf>
    <xf numFmtId="0" fontId="16" fillId="0" borderId="10" xfId="0" applyFont="1" applyBorder="1" applyAlignment="1">
      <alignment horizontal="center"/>
    </xf>
    <xf numFmtId="164" fontId="0" fillId="0" borderId="10" xfId="0" applyNumberFormat="1" applyBorder="1" applyAlignment="1">
      <alignment horizontal="right"/>
    </xf>
    <xf numFmtId="164" fontId="0" fillId="0" borderId="0" xfId="0" applyNumberFormat="1"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9EE8-8A35-40AC-A264-941FE9B1DBD0}">
  <dimension ref="A1:I351"/>
  <sheetViews>
    <sheetView zoomScale="55" zoomScaleNormal="55" workbookViewId="0">
      <selection activeCell="F23" sqref="F23"/>
    </sheetView>
  </sheetViews>
  <sheetFormatPr defaultRowHeight="14.5" x14ac:dyDescent="0.35"/>
  <cols>
    <col min="2" max="2" width="44.26953125" bestFit="1" customWidth="1"/>
    <col min="3" max="3" width="13.7265625" bestFit="1" customWidth="1"/>
    <col min="4" max="4" width="18.453125" bestFit="1" customWidth="1"/>
    <col min="5" max="5" width="8.7265625" customWidth="1"/>
    <col min="6" max="6" width="255.6328125" bestFit="1" customWidth="1"/>
    <col min="7" max="7" width="60.54296875" bestFit="1" customWidth="1"/>
    <col min="8" max="9" width="255.6328125" bestFit="1" customWidth="1"/>
  </cols>
  <sheetData>
    <row r="1" spans="1:9" x14ac:dyDescent="0.35">
      <c r="A1" t="s">
        <v>0</v>
      </c>
      <c r="B1" t="s">
        <v>1</v>
      </c>
      <c r="C1" t="s">
        <v>2</v>
      </c>
      <c r="D1" t="s">
        <v>3</v>
      </c>
      <c r="E1" t="s">
        <v>4</v>
      </c>
      <c r="F1" t="s">
        <v>5</v>
      </c>
      <c r="G1" t="s">
        <v>6</v>
      </c>
      <c r="H1" t="s">
        <v>7</v>
      </c>
      <c r="I1" t="s">
        <v>8</v>
      </c>
    </row>
    <row r="2" spans="1:9" x14ac:dyDescent="0.35">
      <c r="A2" t="s">
        <v>9</v>
      </c>
      <c r="B2" t="s">
        <v>10</v>
      </c>
      <c r="C2">
        <v>2021</v>
      </c>
      <c r="D2">
        <v>10</v>
      </c>
      <c r="E2" t="s">
        <v>11</v>
      </c>
      <c r="F2" t="s">
        <v>12</v>
      </c>
      <c r="G2" t="s">
        <v>13</v>
      </c>
      <c r="H2" t="s">
        <v>14</v>
      </c>
      <c r="I2" t="s">
        <v>15</v>
      </c>
    </row>
    <row r="3" spans="1:9" x14ac:dyDescent="0.35">
      <c r="A3" t="s">
        <v>16</v>
      </c>
      <c r="B3" t="s">
        <v>17</v>
      </c>
      <c r="C3">
        <v>2023</v>
      </c>
      <c r="D3">
        <v>16</v>
      </c>
      <c r="E3" t="s">
        <v>11</v>
      </c>
      <c r="F3" t="s">
        <v>18</v>
      </c>
      <c r="G3" t="s">
        <v>19</v>
      </c>
      <c r="H3" t="s">
        <v>20</v>
      </c>
      <c r="I3" t="s">
        <v>21</v>
      </c>
    </row>
    <row r="4" spans="1:9" x14ac:dyDescent="0.35">
      <c r="A4" t="s">
        <v>22</v>
      </c>
      <c r="B4" t="s">
        <v>23</v>
      </c>
      <c r="C4">
        <v>2023</v>
      </c>
      <c r="D4">
        <v>20</v>
      </c>
      <c r="E4" t="s">
        <v>24</v>
      </c>
      <c r="F4" t="s">
        <v>25</v>
      </c>
      <c r="G4" t="s">
        <v>26</v>
      </c>
      <c r="H4" t="s">
        <v>27</v>
      </c>
      <c r="I4" t="s">
        <v>28</v>
      </c>
    </row>
    <row r="5" spans="1:9" x14ac:dyDescent="0.35">
      <c r="A5" t="s">
        <v>29</v>
      </c>
      <c r="B5" t="s">
        <v>30</v>
      </c>
      <c r="C5">
        <v>2025</v>
      </c>
      <c r="D5">
        <v>8</v>
      </c>
      <c r="E5" t="s">
        <v>24</v>
      </c>
      <c r="F5" t="s">
        <v>31</v>
      </c>
      <c r="G5" t="s">
        <v>32</v>
      </c>
      <c r="H5" t="s">
        <v>33</v>
      </c>
      <c r="I5" t="s">
        <v>34</v>
      </c>
    </row>
    <row r="6" spans="1:9" x14ac:dyDescent="0.35">
      <c r="A6" t="s">
        <v>35</v>
      </c>
      <c r="B6" t="s">
        <v>36</v>
      </c>
      <c r="C6">
        <v>2020</v>
      </c>
      <c r="D6">
        <v>16</v>
      </c>
      <c r="E6" t="s">
        <v>24</v>
      </c>
      <c r="F6" t="s">
        <v>37</v>
      </c>
      <c r="G6" t="s">
        <v>38</v>
      </c>
      <c r="H6" t="s">
        <v>39</v>
      </c>
      <c r="I6" t="s">
        <v>40</v>
      </c>
    </row>
    <row r="7" spans="1:9" x14ac:dyDescent="0.35">
      <c r="A7" t="s">
        <v>41</v>
      </c>
      <c r="B7" t="s">
        <v>42</v>
      </c>
      <c r="C7">
        <v>2020</v>
      </c>
      <c r="D7">
        <v>12</v>
      </c>
      <c r="E7" t="s">
        <v>24</v>
      </c>
      <c r="F7" t="s">
        <v>43</v>
      </c>
      <c r="G7" t="s">
        <v>44</v>
      </c>
      <c r="H7" t="s">
        <v>45</v>
      </c>
      <c r="I7" t="s">
        <v>46</v>
      </c>
    </row>
    <row r="8" spans="1:9" x14ac:dyDescent="0.35">
      <c r="A8" t="s">
        <v>47</v>
      </c>
      <c r="B8" t="s">
        <v>48</v>
      </c>
      <c r="C8">
        <v>2021</v>
      </c>
      <c r="D8">
        <v>12</v>
      </c>
      <c r="E8" t="s">
        <v>24</v>
      </c>
      <c r="F8" t="s">
        <v>49</v>
      </c>
      <c r="G8" t="s">
        <v>44</v>
      </c>
      <c r="H8" t="s">
        <v>50</v>
      </c>
      <c r="I8" t="s">
        <v>46</v>
      </c>
    </row>
    <row r="9" spans="1:9" x14ac:dyDescent="0.35">
      <c r="A9" t="s">
        <v>51</v>
      </c>
      <c r="B9" t="s">
        <v>52</v>
      </c>
      <c r="C9">
        <v>2018</v>
      </c>
      <c r="D9">
        <v>16</v>
      </c>
      <c r="E9" t="s">
        <v>24</v>
      </c>
      <c r="F9" t="s">
        <v>53</v>
      </c>
      <c r="G9" t="s">
        <v>54</v>
      </c>
      <c r="H9" t="s">
        <v>55</v>
      </c>
      <c r="I9" t="s">
        <v>56</v>
      </c>
    </row>
    <row r="10" spans="1:9" x14ac:dyDescent="0.35">
      <c r="A10" t="s">
        <v>57</v>
      </c>
      <c r="B10" t="s">
        <v>58</v>
      </c>
      <c r="C10">
        <v>2015</v>
      </c>
      <c r="D10">
        <v>20</v>
      </c>
      <c r="E10" t="s">
        <v>24</v>
      </c>
      <c r="F10" t="s">
        <v>59</v>
      </c>
      <c r="G10" t="s">
        <v>60</v>
      </c>
      <c r="H10" t="s">
        <v>61</v>
      </c>
      <c r="I10" t="s">
        <v>62</v>
      </c>
    </row>
    <row r="11" spans="1:9" x14ac:dyDescent="0.35">
      <c r="A11" t="s">
        <v>63</v>
      </c>
      <c r="B11" t="s">
        <v>64</v>
      </c>
      <c r="C11">
        <v>2022</v>
      </c>
      <c r="D11">
        <v>8</v>
      </c>
      <c r="E11" t="s">
        <v>24</v>
      </c>
      <c r="F11" t="s">
        <v>65</v>
      </c>
      <c r="G11" t="s">
        <v>66</v>
      </c>
      <c r="H11" t="s">
        <v>67</v>
      </c>
      <c r="I11" t="s">
        <v>68</v>
      </c>
    </row>
    <row r="12" spans="1:9" x14ac:dyDescent="0.35">
      <c r="A12" t="s">
        <v>69</v>
      </c>
      <c r="B12" t="s">
        <v>70</v>
      </c>
      <c r="C12">
        <v>2017</v>
      </c>
      <c r="D12">
        <v>16</v>
      </c>
      <c r="E12" t="s">
        <v>24</v>
      </c>
      <c r="F12" t="s">
        <v>71</v>
      </c>
      <c r="G12" t="s">
        <v>72</v>
      </c>
      <c r="H12" t="s">
        <v>73</v>
      </c>
      <c r="I12" t="s">
        <v>74</v>
      </c>
    </row>
    <row r="13" spans="1:9" x14ac:dyDescent="0.35">
      <c r="A13" t="s">
        <v>75</v>
      </c>
      <c r="B13" t="s">
        <v>76</v>
      </c>
      <c r="C13">
        <v>2024</v>
      </c>
      <c r="D13">
        <v>16</v>
      </c>
      <c r="E13">
        <v>9</v>
      </c>
      <c r="F13" t="s">
        <v>77</v>
      </c>
      <c r="G13" t="s">
        <v>78</v>
      </c>
      <c r="H13" t="s">
        <v>79</v>
      </c>
      <c r="I13" t="s">
        <v>80</v>
      </c>
    </row>
    <row r="14" spans="1:9" x14ac:dyDescent="0.35">
      <c r="A14" t="s">
        <v>81</v>
      </c>
      <c r="B14" t="s">
        <v>82</v>
      </c>
      <c r="C14">
        <v>2022</v>
      </c>
      <c r="D14">
        <v>20</v>
      </c>
      <c r="E14">
        <v>9</v>
      </c>
      <c r="F14" t="s">
        <v>83</v>
      </c>
      <c r="G14" t="s">
        <v>84</v>
      </c>
      <c r="H14" t="s">
        <v>85</v>
      </c>
      <c r="I14" t="s">
        <v>86</v>
      </c>
    </row>
    <row r="15" spans="1:9" x14ac:dyDescent="0.35">
      <c r="A15" t="s">
        <v>87</v>
      </c>
      <c r="B15" t="s">
        <v>88</v>
      </c>
      <c r="C15">
        <v>2025</v>
      </c>
      <c r="D15">
        <v>10</v>
      </c>
      <c r="E15">
        <v>9</v>
      </c>
      <c r="F15" t="s">
        <v>89</v>
      </c>
      <c r="G15" t="s">
        <v>90</v>
      </c>
      <c r="H15" t="s">
        <v>91</v>
      </c>
      <c r="I15" t="s">
        <v>92</v>
      </c>
    </row>
    <row r="16" spans="1:9" x14ac:dyDescent="0.35">
      <c r="A16" t="s">
        <v>93</v>
      </c>
      <c r="B16" t="s">
        <v>94</v>
      </c>
      <c r="C16">
        <v>2022</v>
      </c>
      <c r="D16">
        <v>16</v>
      </c>
      <c r="E16">
        <v>9</v>
      </c>
      <c r="F16" t="s">
        <v>95</v>
      </c>
      <c r="G16" t="s">
        <v>96</v>
      </c>
      <c r="H16" t="s">
        <v>97</v>
      </c>
      <c r="I16" t="s">
        <v>98</v>
      </c>
    </row>
    <row r="17" spans="1:9" x14ac:dyDescent="0.35">
      <c r="A17" t="s">
        <v>99</v>
      </c>
      <c r="B17" t="s">
        <v>100</v>
      </c>
      <c r="C17">
        <v>2020</v>
      </c>
      <c r="D17">
        <v>20</v>
      </c>
      <c r="E17">
        <v>9</v>
      </c>
      <c r="F17" t="s">
        <v>101</v>
      </c>
      <c r="G17" t="s">
        <v>102</v>
      </c>
      <c r="H17" t="s">
        <v>103</v>
      </c>
      <c r="I17" t="s">
        <v>104</v>
      </c>
    </row>
    <row r="18" spans="1:9" x14ac:dyDescent="0.35">
      <c r="A18" t="s">
        <v>105</v>
      </c>
      <c r="B18" t="s">
        <v>106</v>
      </c>
      <c r="C18">
        <v>2018</v>
      </c>
      <c r="D18">
        <v>16</v>
      </c>
      <c r="E18">
        <v>9</v>
      </c>
      <c r="F18" t="s">
        <v>107</v>
      </c>
      <c r="G18" t="s">
        <v>108</v>
      </c>
      <c r="H18" t="s">
        <v>109</v>
      </c>
      <c r="I18" t="s">
        <v>110</v>
      </c>
    </row>
    <row r="19" spans="1:9" x14ac:dyDescent="0.35">
      <c r="A19" t="s">
        <v>111</v>
      </c>
      <c r="B19" t="s">
        <v>112</v>
      </c>
      <c r="C19">
        <v>2020</v>
      </c>
      <c r="D19">
        <v>16</v>
      </c>
      <c r="E19">
        <v>9</v>
      </c>
      <c r="F19" t="s">
        <v>113</v>
      </c>
      <c r="G19" t="s">
        <v>114</v>
      </c>
      <c r="H19" t="s">
        <v>115</v>
      </c>
      <c r="I19" t="s">
        <v>116</v>
      </c>
    </row>
    <row r="20" spans="1:9" x14ac:dyDescent="0.35">
      <c r="A20" t="s">
        <v>117</v>
      </c>
      <c r="B20" t="s">
        <v>118</v>
      </c>
      <c r="C20">
        <v>2019</v>
      </c>
      <c r="D20">
        <v>16</v>
      </c>
      <c r="E20">
        <v>9</v>
      </c>
      <c r="F20" t="s">
        <v>119</v>
      </c>
      <c r="G20" t="s">
        <v>120</v>
      </c>
      <c r="H20" t="s">
        <v>121</v>
      </c>
      <c r="I20" t="s">
        <v>122</v>
      </c>
    </row>
    <row r="21" spans="1:9" x14ac:dyDescent="0.35">
      <c r="A21" t="s">
        <v>123</v>
      </c>
      <c r="B21" t="s">
        <v>124</v>
      </c>
      <c r="C21">
        <v>2021</v>
      </c>
      <c r="D21">
        <v>20</v>
      </c>
      <c r="E21">
        <v>9</v>
      </c>
      <c r="F21" t="s">
        <v>125</v>
      </c>
      <c r="G21" t="s">
        <v>126</v>
      </c>
      <c r="H21" t="s">
        <v>127</v>
      </c>
      <c r="I21" t="s">
        <v>128</v>
      </c>
    </row>
    <row r="22" spans="1:9" x14ac:dyDescent="0.35">
      <c r="A22" t="s">
        <v>129</v>
      </c>
      <c r="B22" t="s">
        <v>130</v>
      </c>
      <c r="C22">
        <v>2021</v>
      </c>
      <c r="D22">
        <v>12</v>
      </c>
      <c r="E22">
        <v>9</v>
      </c>
      <c r="F22" t="s">
        <v>131</v>
      </c>
      <c r="G22" t="s">
        <v>132</v>
      </c>
      <c r="H22" t="s">
        <v>133</v>
      </c>
      <c r="I22" t="s">
        <v>134</v>
      </c>
    </row>
    <row r="23" spans="1:9" x14ac:dyDescent="0.35">
      <c r="A23" t="s">
        <v>135</v>
      </c>
      <c r="B23" t="s">
        <v>136</v>
      </c>
      <c r="C23">
        <v>2016</v>
      </c>
      <c r="D23">
        <v>16</v>
      </c>
      <c r="E23">
        <v>9</v>
      </c>
      <c r="F23" t="s">
        <v>137</v>
      </c>
      <c r="G23" t="s">
        <v>138</v>
      </c>
      <c r="H23" t="s">
        <v>139</v>
      </c>
      <c r="I23" t="s">
        <v>140</v>
      </c>
    </row>
    <row r="24" spans="1:9" x14ac:dyDescent="0.35">
      <c r="A24" t="s">
        <v>141</v>
      </c>
      <c r="B24" t="s">
        <v>142</v>
      </c>
      <c r="C24">
        <v>2018</v>
      </c>
      <c r="D24">
        <v>24</v>
      </c>
      <c r="E24" t="s">
        <v>143</v>
      </c>
      <c r="F24" t="s">
        <v>144</v>
      </c>
      <c r="G24" t="s">
        <v>145</v>
      </c>
      <c r="H24" t="s">
        <v>146</v>
      </c>
      <c r="I24" t="s">
        <v>147</v>
      </c>
    </row>
    <row r="25" spans="1:9" x14ac:dyDescent="0.35">
      <c r="A25" t="s">
        <v>148</v>
      </c>
      <c r="B25" t="s">
        <v>149</v>
      </c>
      <c r="C25">
        <v>2021</v>
      </c>
      <c r="D25">
        <v>12</v>
      </c>
      <c r="E25" t="s">
        <v>143</v>
      </c>
      <c r="F25" t="s">
        <v>150</v>
      </c>
      <c r="G25" t="s">
        <v>151</v>
      </c>
      <c r="H25" t="s">
        <v>152</v>
      </c>
      <c r="I25" t="s">
        <v>153</v>
      </c>
    </row>
    <row r="26" spans="1:9" x14ac:dyDescent="0.35">
      <c r="A26" t="s">
        <v>154</v>
      </c>
      <c r="B26" t="s">
        <v>155</v>
      </c>
      <c r="C26">
        <v>2020</v>
      </c>
      <c r="D26">
        <v>6</v>
      </c>
      <c r="E26" t="s">
        <v>143</v>
      </c>
      <c r="F26" t="s">
        <v>156</v>
      </c>
      <c r="G26" t="s">
        <v>157</v>
      </c>
      <c r="H26" t="s">
        <v>158</v>
      </c>
      <c r="I26" t="s">
        <v>159</v>
      </c>
    </row>
    <row r="27" spans="1:9" x14ac:dyDescent="0.35">
      <c r="A27" t="s">
        <v>160</v>
      </c>
      <c r="B27" t="s">
        <v>161</v>
      </c>
      <c r="C27">
        <v>2023</v>
      </c>
      <c r="D27">
        <v>14</v>
      </c>
      <c r="E27" t="s">
        <v>143</v>
      </c>
      <c r="F27" t="s">
        <v>162</v>
      </c>
      <c r="G27" t="s">
        <v>163</v>
      </c>
      <c r="H27" t="s">
        <v>164</v>
      </c>
      <c r="I27" t="s">
        <v>165</v>
      </c>
    </row>
    <row r="28" spans="1:9" x14ac:dyDescent="0.35">
      <c r="A28" t="s">
        <v>166</v>
      </c>
      <c r="B28" t="s">
        <v>167</v>
      </c>
      <c r="C28">
        <v>2022</v>
      </c>
      <c r="D28">
        <v>8</v>
      </c>
      <c r="E28" t="s">
        <v>143</v>
      </c>
      <c r="F28" t="s">
        <v>168</v>
      </c>
      <c r="G28" t="s">
        <v>169</v>
      </c>
      <c r="H28" t="s">
        <v>170</v>
      </c>
      <c r="I28" t="s">
        <v>171</v>
      </c>
    </row>
    <row r="29" spans="1:9" x14ac:dyDescent="0.35">
      <c r="A29" t="s">
        <v>172</v>
      </c>
      <c r="B29" t="s">
        <v>173</v>
      </c>
      <c r="C29">
        <v>2018</v>
      </c>
      <c r="D29">
        <v>20</v>
      </c>
      <c r="E29" t="s">
        <v>143</v>
      </c>
      <c r="F29" t="s">
        <v>174</v>
      </c>
      <c r="G29" t="s">
        <v>175</v>
      </c>
      <c r="H29" t="s">
        <v>176</v>
      </c>
      <c r="I29" t="s">
        <v>177</v>
      </c>
    </row>
    <row r="30" spans="1:9" x14ac:dyDescent="0.35">
      <c r="A30" t="s">
        <v>178</v>
      </c>
      <c r="B30" t="s">
        <v>179</v>
      </c>
      <c r="C30">
        <v>2022</v>
      </c>
      <c r="D30">
        <v>16</v>
      </c>
      <c r="E30" t="s">
        <v>143</v>
      </c>
      <c r="F30" t="s">
        <v>180</v>
      </c>
      <c r="G30" t="s">
        <v>181</v>
      </c>
      <c r="H30" t="s">
        <v>182</v>
      </c>
      <c r="I30" t="s">
        <v>183</v>
      </c>
    </row>
    <row r="31" spans="1:9" x14ac:dyDescent="0.35">
      <c r="A31" t="s">
        <v>184</v>
      </c>
      <c r="B31" t="s">
        <v>185</v>
      </c>
      <c r="C31">
        <v>2014</v>
      </c>
      <c r="D31">
        <v>20</v>
      </c>
      <c r="E31" t="s">
        <v>143</v>
      </c>
      <c r="F31" t="s">
        <v>186</v>
      </c>
      <c r="G31" t="s">
        <v>187</v>
      </c>
      <c r="H31" t="s">
        <v>188</v>
      </c>
      <c r="I31" t="s">
        <v>189</v>
      </c>
    </row>
    <row r="32" spans="1:9" x14ac:dyDescent="0.35">
      <c r="A32" t="s">
        <v>190</v>
      </c>
      <c r="B32" t="s">
        <v>191</v>
      </c>
      <c r="C32">
        <v>2017</v>
      </c>
      <c r="D32">
        <v>16</v>
      </c>
      <c r="E32" t="s">
        <v>143</v>
      </c>
      <c r="F32" t="s">
        <v>192</v>
      </c>
      <c r="G32" t="s">
        <v>193</v>
      </c>
      <c r="H32" t="s">
        <v>194</v>
      </c>
      <c r="I32" t="s">
        <v>195</v>
      </c>
    </row>
    <row r="33" spans="1:9" x14ac:dyDescent="0.35">
      <c r="A33" t="s">
        <v>196</v>
      </c>
      <c r="B33" t="s">
        <v>197</v>
      </c>
      <c r="C33">
        <v>2022</v>
      </c>
      <c r="D33">
        <v>16</v>
      </c>
      <c r="E33" t="s">
        <v>198</v>
      </c>
      <c r="F33" t="s">
        <v>199</v>
      </c>
      <c r="G33" t="s">
        <v>200</v>
      </c>
      <c r="H33" t="s">
        <v>201</v>
      </c>
      <c r="I33" t="s">
        <v>202</v>
      </c>
    </row>
    <row r="34" spans="1:9" x14ac:dyDescent="0.35">
      <c r="A34" t="s">
        <v>203</v>
      </c>
      <c r="B34" t="s">
        <v>204</v>
      </c>
      <c r="C34">
        <v>2023</v>
      </c>
      <c r="D34">
        <v>12</v>
      </c>
      <c r="E34" t="s">
        <v>198</v>
      </c>
      <c r="F34" t="s">
        <v>205</v>
      </c>
      <c r="G34" t="s">
        <v>206</v>
      </c>
      <c r="H34" t="s">
        <v>207</v>
      </c>
      <c r="I34" t="s">
        <v>208</v>
      </c>
    </row>
    <row r="35" spans="1:9" x14ac:dyDescent="0.35">
      <c r="A35" t="s">
        <v>209</v>
      </c>
      <c r="B35" t="s">
        <v>210</v>
      </c>
      <c r="C35">
        <v>2021</v>
      </c>
      <c r="D35">
        <v>17</v>
      </c>
      <c r="E35" t="s">
        <v>198</v>
      </c>
      <c r="F35" t="s">
        <v>211</v>
      </c>
      <c r="G35" t="s">
        <v>212</v>
      </c>
      <c r="H35" t="s">
        <v>213</v>
      </c>
      <c r="I35" t="s">
        <v>214</v>
      </c>
    </row>
    <row r="36" spans="1:9" x14ac:dyDescent="0.35">
      <c r="A36" t="s">
        <v>215</v>
      </c>
      <c r="B36" t="s">
        <v>216</v>
      </c>
      <c r="C36">
        <v>2016</v>
      </c>
      <c r="D36">
        <v>16</v>
      </c>
      <c r="E36" t="s">
        <v>198</v>
      </c>
      <c r="F36" t="s">
        <v>217</v>
      </c>
      <c r="G36" t="s">
        <v>218</v>
      </c>
      <c r="H36" t="s">
        <v>219</v>
      </c>
      <c r="I36" t="s">
        <v>220</v>
      </c>
    </row>
    <row r="37" spans="1:9" x14ac:dyDescent="0.35">
      <c r="A37" t="s">
        <v>221</v>
      </c>
      <c r="B37" t="s">
        <v>222</v>
      </c>
      <c r="C37">
        <v>2020</v>
      </c>
      <c r="D37">
        <v>16</v>
      </c>
      <c r="E37" t="s">
        <v>198</v>
      </c>
      <c r="F37" t="s">
        <v>223</v>
      </c>
      <c r="G37" t="s">
        <v>224</v>
      </c>
      <c r="H37" t="s">
        <v>225</v>
      </c>
      <c r="I37" t="s">
        <v>226</v>
      </c>
    </row>
    <row r="38" spans="1:9" x14ac:dyDescent="0.35">
      <c r="A38" t="s">
        <v>227</v>
      </c>
      <c r="B38" t="s">
        <v>228</v>
      </c>
      <c r="C38">
        <v>2021</v>
      </c>
      <c r="D38">
        <v>20</v>
      </c>
      <c r="E38" t="s">
        <v>229</v>
      </c>
      <c r="F38" t="s">
        <v>230</v>
      </c>
      <c r="G38" t="s">
        <v>138</v>
      </c>
      <c r="H38" t="s">
        <v>231</v>
      </c>
      <c r="I38" t="s">
        <v>232</v>
      </c>
    </row>
    <row r="39" spans="1:9" x14ac:dyDescent="0.35">
      <c r="A39" t="s">
        <v>233</v>
      </c>
      <c r="B39" t="s">
        <v>234</v>
      </c>
      <c r="C39">
        <v>2019</v>
      </c>
      <c r="D39">
        <v>6</v>
      </c>
      <c r="E39" t="s">
        <v>198</v>
      </c>
      <c r="F39" t="s">
        <v>235</v>
      </c>
      <c r="G39" t="s">
        <v>236</v>
      </c>
      <c r="H39" t="s">
        <v>237</v>
      </c>
      <c r="I39" t="s">
        <v>238</v>
      </c>
    </row>
    <row r="40" spans="1:9" x14ac:dyDescent="0.35">
      <c r="A40" t="s">
        <v>239</v>
      </c>
      <c r="B40" t="s">
        <v>240</v>
      </c>
      <c r="C40">
        <v>2016</v>
      </c>
      <c r="D40">
        <v>16</v>
      </c>
      <c r="E40" t="s">
        <v>198</v>
      </c>
      <c r="F40" t="s">
        <v>241</v>
      </c>
      <c r="G40" t="s">
        <v>242</v>
      </c>
      <c r="H40" t="s">
        <v>243</v>
      </c>
      <c r="I40" t="s">
        <v>244</v>
      </c>
    </row>
    <row r="41" spans="1:9" x14ac:dyDescent="0.35">
      <c r="A41" t="s">
        <v>245</v>
      </c>
      <c r="B41" t="s">
        <v>246</v>
      </c>
      <c r="C41">
        <v>2021</v>
      </c>
      <c r="D41">
        <v>6</v>
      </c>
      <c r="E41" t="s">
        <v>198</v>
      </c>
      <c r="F41" t="s">
        <v>247</v>
      </c>
      <c r="G41" t="s">
        <v>248</v>
      </c>
      <c r="H41" t="s">
        <v>249</v>
      </c>
      <c r="I41" t="s">
        <v>250</v>
      </c>
    </row>
    <row r="42" spans="1:9" x14ac:dyDescent="0.35">
      <c r="A42" t="s">
        <v>251</v>
      </c>
      <c r="B42" t="s">
        <v>252</v>
      </c>
      <c r="C42">
        <v>2021</v>
      </c>
      <c r="D42">
        <v>16</v>
      </c>
      <c r="E42" t="s">
        <v>198</v>
      </c>
      <c r="F42" t="s">
        <v>253</v>
      </c>
      <c r="G42" t="s">
        <v>254</v>
      </c>
      <c r="H42" t="s">
        <v>255</v>
      </c>
      <c r="I42" t="s">
        <v>256</v>
      </c>
    </row>
    <row r="43" spans="1:9" x14ac:dyDescent="0.35">
      <c r="A43" t="s">
        <v>257</v>
      </c>
      <c r="B43" t="s">
        <v>258</v>
      </c>
      <c r="C43">
        <v>2020</v>
      </c>
      <c r="D43">
        <v>21</v>
      </c>
      <c r="E43" t="s">
        <v>198</v>
      </c>
      <c r="F43" t="s">
        <v>259</v>
      </c>
      <c r="G43" t="s">
        <v>260</v>
      </c>
      <c r="H43" t="s">
        <v>261</v>
      </c>
      <c r="I43" t="s">
        <v>262</v>
      </c>
    </row>
    <row r="44" spans="1:9" x14ac:dyDescent="0.35">
      <c r="A44" t="s">
        <v>263</v>
      </c>
      <c r="B44" t="s">
        <v>264</v>
      </c>
      <c r="C44">
        <v>2021</v>
      </c>
      <c r="D44">
        <v>12</v>
      </c>
      <c r="E44" t="s">
        <v>198</v>
      </c>
      <c r="F44" t="s">
        <v>265</v>
      </c>
      <c r="G44" t="s">
        <v>266</v>
      </c>
      <c r="H44" t="s">
        <v>267</v>
      </c>
      <c r="I44" t="s">
        <v>268</v>
      </c>
    </row>
    <row r="45" spans="1:9" x14ac:dyDescent="0.35">
      <c r="A45" t="s">
        <v>269</v>
      </c>
      <c r="B45" t="s">
        <v>270</v>
      </c>
      <c r="C45">
        <v>2021</v>
      </c>
      <c r="D45">
        <v>16</v>
      </c>
      <c r="E45" t="s">
        <v>198</v>
      </c>
      <c r="F45" t="s">
        <v>271</v>
      </c>
      <c r="G45" t="s">
        <v>272</v>
      </c>
      <c r="H45" t="s">
        <v>273</v>
      </c>
      <c r="I45" t="s">
        <v>274</v>
      </c>
    </row>
    <row r="46" spans="1:9" x14ac:dyDescent="0.35">
      <c r="A46" t="s">
        <v>275</v>
      </c>
      <c r="B46" t="s">
        <v>276</v>
      </c>
      <c r="C46">
        <v>2018</v>
      </c>
      <c r="D46">
        <v>16</v>
      </c>
      <c r="E46" t="s">
        <v>198</v>
      </c>
      <c r="F46" t="s">
        <v>277</v>
      </c>
      <c r="G46" t="s">
        <v>278</v>
      </c>
      <c r="H46" t="s">
        <v>279</v>
      </c>
      <c r="I46" t="s">
        <v>280</v>
      </c>
    </row>
    <row r="47" spans="1:9" x14ac:dyDescent="0.35">
      <c r="A47" t="s">
        <v>281</v>
      </c>
      <c r="B47" t="s">
        <v>282</v>
      </c>
      <c r="C47">
        <v>2024</v>
      </c>
      <c r="D47">
        <v>8</v>
      </c>
      <c r="E47" t="s">
        <v>198</v>
      </c>
      <c r="F47" t="s">
        <v>283</v>
      </c>
      <c r="G47" t="s">
        <v>284</v>
      </c>
      <c r="H47" t="s">
        <v>285</v>
      </c>
      <c r="I47" t="s">
        <v>286</v>
      </c>
    </row>
    <row r="48" spans="1:9" x14ac:dyDescent="0.35">
      <c r="A48" t="s">
        <v>287</v>
      </c>
      <c r="B48" t="s">
        <v>288</v>
      </c>
      <c r="C48">
        <v>2021</v>
      </c>
      <c r="D48">
        <v>16</v>
      </c>
      <c r="E48" t="s">
        <v>198</v>
      </c>
      <c r="F48" t="s">
        <v>289</v>
      </c>
      <c r="G48" t="s">
        <v>290</v>
      </c>
      <c r="H48" t="s">
        <v>291</v>
      </c>
      <c r="I48" t="s">
        <v>292</v>
      </c>
    </row>
    <row r="49" spans="1:9" x14ac:dyDescent="0.35">
      <c r="A49" t="s">
        <v>293</v>
      </c>
      <c r="B49" t="s">
        <v>294</v>
      </c>
      <c r="C49">
        <v>2021</v>
      </c>
      <c r="D49">
        <v>16</v>
      </c>
      <c r="E49" t="s">
        <v>198</v>
      </c>
      <c r="F49" t="s">
        <v>295</v>
      </c>
      <c r="G49" t="s">
        <v>296</v>
      </c>
      <c r="H49" t="s">
        <v>297</v>
      </c>
      <c r="I49" t="s">
        <v>298</v>
      </c>
    </row>
    <row r="50" spans="1:9" x14ac:dyDescent="0.35">
      <c r="A50" t="s">
        <v>299</v>
      </c>
      <c r="B50" t="s">
        <v>300</v>
      </c>
      <c r="C50">
        <v>2021</v>
      </c>
      <c r="D50">
        <v>16</v>
      </c>
      <c r="E50" t="s">
        <v>198</v>
      </c>
      <c r="F50" t="s">
        <v>301</v>
      </c>
      <c r="G50" t="s">
        <v>302</v>
      </c>
      <c r="H50" t="s">
        <v>303</v>
      </c>
      <c r="I50" t="s">
        <v>304</v>
      </c>
    </row>
    <row r="51" spans="1:9" x14ac:dyDescent="0.35">
      <c r="A51" t="s">
        <v>305</v>
      </c>
      <c r="B51" t="s">
        <v>306</v>
      </c>
      <c r="C51">
        <v>2015</v>
      </c>
      <c r="D51">
        <v>50</v>
      </c>
      <c r="E51" t="s">
        <v>198</v>
      </c>
      <c r="F51" t="s">
        <v>307</v>
      </c>
      <c r="G51" t="s">
        <v>308</v>
      </c>
      <c r="H51" t="s">
        <v>309</v>
      </c>
      <c r="I51" t="s">
        <v>310</v>
      </c>
    </row>
    <row r="52" spans="1:9" x14ac:dyDescent="0.35">
      <c r="A52" t="s">
        <v>311</v>
      </c>
      <c r="B52" t="s">
        <v>312</v>
      </c>
      <c r="C52">
        <v>2021</v>
      </c>
      <c r="D52">
        <v>13</v>
      </c>
      <c r="E52" t="s">
        <v>198</v>
      </c>
      <c r="F52" t="s">
        <v>313</v>
      </c>
      <c r="G52" t="s">
        <v>260</v>
      </c>
      <c r="H52" t="s">
        <v>314</v>
      </c>
      <c r="I52" t="s">
        <v>315</v>
      </c>
    </row>
    <row r="53" spans="1:9" x14ac:dyDescent="0.35">
      <c r="A53" t="s">
        <v>316</v>
      </c>
      <c r="B53" t="s">
        <v>317</v>
      </c>
      <c r="C53">
        <v>2021</v>
      </c>
      <c r="D53">
        <v>16</v>
      </c>
      <c r="E53" t="s">
        <v>229</v>
      </c>
      <c r="F53" t="s">
        <v>318</v>
      </c>
      <c r="G53" t="s">
        <v>319</v>
      </c>
      <c r="H53" t="s">
        <v>320</v>
      </c>
      <c r="I53" t="s">
        <v>321</v>
      </c>
    </row>
    <row r="54" spans="1:9" x14ac:dyDescent="0.35">
      <c r="A54" t="s">
        <v>322</v>
      </c>
      <c r="B54" t="s">
        <v>323</v>
      </c>
      <c r="C54">
        <v>2018</v>
      </c>
      <c r="D54">
        <v>16</v>
      </c>
      <c r="E54" t="s">
        <v>198</v>
      </c>
      <c r="F54" t="s">
        <v>324</v>
      </c>
    </row>
    <row r="55" spans="1:9" x14ac:dyDescent="0.35">
      <c r="A55" t="s">
        <v>325</v>
      </c>
      <c r="B55" t="s">
        <v>326</v>
      </c>
      <c r="C55">
        <v>2016</v>
      </c>
      <c r="D55">
        <v>16</v>
      </c>
      <c r="E55" t="s">
        <v>229</v>
      </c>
      <c r="F55" t="s">
        <v>327</v>
      </c>
      <c r="G55" t="s">
        <v>328</v>
      </c>
      <c r="H55" t="s">
        <v>329</v>
      </c>
      <c r="I55" t="s">
        <v>330</v>
      </c>
    </row>
    <row r="56" spans="1:9" x14ac:dyDescent="0.35">
      <c r="A56" t="s">
        <v>331</v>
      </c>
      <c r="B56" t="s">
        <v>332</v>
      </c>
      <c r="C56">
        <v>2017</v>
      </c>
      <c r="D56">
        <v>32</v>
      </c>
      <c r="E56" t="s">
        <v>229</v>
      </c>
      <c r="F56" t="s">
        <v>333</v>
      </c>
      <c r="G56" t="s">
        <v>334</v>
      </c>
      <c r="H56" t="s">
        <v>335</v>
      </c>
      <c r="I56" t="s">
        <v>336</v>
      </c>
    </row>
    <row r="57" spans="1:9" x14ac:dyDescent="0.35">
      <c r="A57" t="s">
        <v>337</v>
      </c>
      <c r="B57" t="s">
        <v>338</v>
      </c>
      <c r="C57">
        <v>2017</v>
      </c>
      <c r="D57">
        <v>16</v>
      </c>
      <c r="E57" t="s">
        <v>229</v>
      </c>
      <c r="F57" t="s">
        <v>339</v>
      </c>
      <c r="G57" t="s">
        <v>340</v>
      </c>
      <c r="H57" t="s">
        <v>341</v>
      </c>
      <c r="I57" t="s">
        <v>342</v>
      </c>
    </row>
    <row r="58" spans="1:9" x14ac:dyDescent="0.35">
      <c r="A58" t="s">
        <v>343</v>
      </c>
      <c r="B58" t="s">
        <v>344</v>
      </c>
      <c r="C58">
        <v>2020</v>
      </c>
      <c r="D58">
        <v>16</v>
      </c>
      <c r="E58" t="s">
        <v>229</v>
      </c>
      <c r="F58" t="s">
        <v>345</v>
      </c>
      <c r="G58" t="s">
        <v>346</v>
      </c>
      <c r="H58" t="s">
        <v>347</v>
      </c>
      <c r="I58" t="s">
        <v>348</v>
      </c>
    </row>
    <row r="59" spans="1:9" x14ac:dyDescent="0.35">
      <c r="A59" t="s">
        <v>349</v>
      </c>
      <c r="B59" t="s">
        <v>350</v>
      </c>
      <c r="C59">
        <v>2024</v>
      </c>
      <c r="D59">
        <v>16</v>
      </c>
      <c r="E59" t="s">
        <v>229</v>
      </c>
      <c r="F59" t="s">
        <v>351</v>
      </c>
      <c r="G59" t="s">
        <v>352</v>
      </c>
      <c r="H59" t="s">
        <v>353</v>
      </c>
      <c r="I59" t="s">
        <v>354</v>
      </c>
    </row>
    <row r="60" spans="1:9" x14ac:dyDescent="0.35">
      <c r="A60" t="s">
        <v>355</v>
      </c>
      <c r="B60" t="s">
        <v>356</v>
      </c>
      <c r="C60">
        <v>2019</v>
      </c>
      <c r="D60">
        <v>6</v>
      </c>
      <c r="E60" t="s">
        <v>229</v>
      </c>
      <c r="F60" t="s">
        <v>357</v>
      </c>
      <c r="G60" t="s">
        <v>358</v>
      </c>
      <c r="H60" t="s">
        <v>359</v>
      </c>
      <c r="I60" t="s">
        <v>360</v>
      </c>
    </row>
    <row r="61" spans="1:9" x14ac:dyDescent="0.35">
      <c r="A61" t="s">
        <v>361</v>
      </c>
      <c r="B61" t="s">
        <v>362</v>
      </c>
      <c r="C61">
        <v>2019</v>
      </c>
      <c r="D61">
        <v>6</v>
      </c>
      <c r="E61" t="s">
        <v>229</v>
      </c>
      <c r="F61" t="s">
        <v>363</v>
      </c>
      <c r="G61" t="s">
        <v>358</v>
      </c>
      <c r="H61" t="s">
        <v>364</v>
      </c>
      <c r="I61" t="s">
        <v>365</v>
      </c>
    </row>
    <row r="62" spans="1:9" x14ac:dyDescent="0.35">
      <c r="A62" t="s">
        <v>366</v>
      </c>
      <c r="B62" t="s">
        <v>367</v>
      </c>
      <c r="C62">
        <v>2022</v>
      </c>
      <c r="D62">
        <v>12</v>
      </c>
      <c r="E62" t="s">
        <v>229</v>
      </c>
      <c r="F62" t="s">
        <v>368</v>
      </c>
      <c r="G62" t="s">
        <v>369</v>
      </c>
      <c r="H62" t="s">
        <v>370</v>
      </c>
      <c r="I62" t="s">
        <v>371</v>
      </c>
    </row>
    <row r="63" spans="1:9" x14ac:dyDescent="0.35">
      <c r="A63" t="s">
        <v>372</v>
      </c>
      <c r="B63" t="s">
        <v>373</v>
      </c>
      <c r="C63">
        <v>2020</v>
      </c>
      <c r="D63">
        <v>16</v>
      </c>
      <c r="E63" t="s">
        <v>229</v>
      </c>
      <c r="F63" t="s">
        <v>374</v>
      </c>
      <c r="G63" t="s">
        <v>375</v>
      </c>
      <c r="H63" t="s">
        <v>376</v>
      </c>
      <c r="I63" t="s">
        <v>377</v>
      </c>
    </row>
    <row r="64" spans="1:9" x14ac:dyDescent="0.35">
      <c r="A64" t="s">
        <v>378</v>
      </c>
      <c r="B64" t="s">
        <v>379</v>
      </c>
      <c r="C64">
        <v>2017</v>
      </c>
      <c r="D64">
        <v>18</v>
      </c>
      <c r="E64" t="s">
        <v>229</v>
      </c>
      <c r="F64" t="s">
        <v>380</v>
      </c>
      <c r="G64" t="s">
        <v>193</v>
      </c>
      <c r="H64" t="s">
        <v>381</v>
      </c>
      <c r="I64" t="s">
        <v>382</v>
      </c>
    </row>
    <row r="65" spans="1:9" x14ac:dyDescent="0.35">
      <c r="A65" t="s">
        <v>383</v>
      </c>
      <c r="B65" t="s">
        <v>384</v>
      </c>
      <c r="C65">
        <v>2022</v>
      </c>
      <c r="D65">
        <v>20</v>
      </c>
      <c r="E65" t="s">
        <v>229</v>
      </c>
      <c r="F65" t="s">
        <v>385</v>
      </c>
      <c r="G65" t="s">
        <v>386</v>
      </c>
      <c r="H65" t="s">
        <v>387</v>
      </c>
      <c r="I65" t="s">
        <v>388</v>
      </c>
    </row>
    <row r="66" spans="1:9" x14ac:dyDescent="0.35">
      <c r="A66" t="s">
        <v>389</v>
      </c>
      <c r="B66" t="s">
        <v>390</v>
      </c>
      <c r="C66">
        <v>2020</v>
      </c>
      <c r="D66">
        <v>10</v>
      </c>
      <c r="E66" t="s">
        <v>229</v>
      </c>
      <c r="F66" t="s">
        <v>391</v>
      </c>
      <c r="G66" t="s">
        <v>392</v>
      </c>
      <c r="H66" t="s">
        <v>393</v>
      </c>
      <c r="I66" t="s">
        <v>394</v>
      </c>
    </row>
    <row r="67" spans="1:9" x14ac:dyDescent="0.35">
      <c r="A67" t="s">
        <v>395</v>
      </c>
      <c r="B67" t="s">
        <v>396</v>
      </c>
      <c r="C67">
        <v>2015</v>
      </c>
      <c r="D67">
        <v>20</v>
      </c>
      <c r="E67" t="s">
        <v>229</v>
      </c>
      <c r="F67" t="s">
        <v>397</v>
      </c>
      <c r="G67" t="s">
        <v>114</v>
      </c>
      <c r="H67" t="s">
        <v>398</v>
      </c>
      <c r="I67" t="s">
        <v>399</v>
      </c>
    </row>
    <row r="68" spans="1:9" x14ac:dyDescent="0.35">
      <c r="A68" t="s">
        <v>400</v>
      </c>
      <c r="B68" t="s">
        <v>401</v>
      </c>
      <c r="C68">
        <v>2016</v>
      </c>
      <c r="D68">
        <v>20</v>
      </c>
      <c r="E68" t="s">
        <v>229</v>
      </c>
      <c r="F68" t="s">
        <v>402</v>
      </c>
      <c r="G68" t="s">
        <v>403</v>
      </c>
      <c r="H68" t="s">
        <v>404</v>
      </c>
      <c r="I68" t="s">
        <v>405</v>
      </c>
    </row>
    <row r="69" spans="1:9" x14ac:dyDescent="0.35">
      <c r="A69" t="s">
        <v>406</v>
      </c>
      <c r="B69" t="s">
        <v>407</v>
      </c>
      <c r="C69">
        <v>2022</v>
      </c>
      <c r="D69">
        <v>12</v>
      </c>
      <c r="E69" t="s">
        <v>229</v>
      </c>
      <c r="F69" t="s">
        <v>408</v>
      </c>
      <c r="G69" t="s">
        <v>409</v>
      </c>
      <c r="H69" t="s">
        <v>410</v>
      </c>
      <c r="I69" t="s">
        <v>408</v>
      </c>
    </row>
    <row r="70" spans="1:9" x14ac:dyDescent="0.35">
      <c r="A70" t="s">
        <v>411</v>
      </c>
      <c r="B70" t="s">
        <v>412</v>
      </c>
      <c r="C70">
        <v>2014</v>
      </c>
      <c r="D70">
        <v>20</v>
      </c>
      <c r="E70" t="s">
        <v>229</v>
      </c>
      <c r="F70" t="s">
        <v>413</v>
      </c>
      <c r="G70" t="s">
        <v>414</v>
      </c>
      <c r="H70" t="s">
        <v>415</v>
      </c>
      <c r="I70" t="s">
        <v>416</v>
      </c>
    </row>
    <row r="71" spans="1:9" x14ac:dyDescent="0.35">
      <c r="A71" t="s">
        <v>417</v>
      </c>
      <c r="B71" t="s">
        <v>418</v>
      </c>
      <c r="C71">
        <v>2017</v>
      </c>
      <c r="D71">
        <v>16</v>
      </c>
      <c r="E71" t="s">
        <v>229</v>
      </c>
      <c r="F71" t="s">
        <v>419</v>
      </c>
      <c r="G71" t="s">
        <v>420</v>
      </c>
      <c r="H71" t="s">
        <v>421</v>
      </c>
      <c r="I71" t="s">
        <v>422</v>
      </c>
    </row>
    <row r="72" spans="1:9" x14ac:dyDescent="0.35">
      <c r="A72" t="s">
        <v>423</v>
      </c>
      <c r="B72" t="s">
        <v>424</v>
      </c>
      <c r="C72">
        <v>2019</v>
      </c>
      <c r="D72">
        <v>40</v>
      </c>
      <c r="E72" t="s">
        <v>229</v>
      </c>
      <c r="F72" t="s">
        <v>425</v>
      </c>
      <c r="G72" t="s">
        <v>426</v>
      </c>
      <c r="H72" t="s">
        <v>427</v>
      </c>
      <c r="I72" t="s">
        <v>428</v>
      </c>
    </row>
    <row r="73" spans="1:9" x14ac:dyDescent="0.35">
      <c r="A73" t="s">
        <v>429</v>
      </c>
      <c r="B73" t="s">
        <v>430</v>
      </c>
      <c r="C73">
        <v>2023</v>
      </c>
      <c r="D73">
        <v>8</v>
      </c>
      <c r="E73" t="s">
        <v>229</v>
      </c>
      <c r="F73" t="s">
        <v>431</v>
      </c>
      <c r="G73" t="s">
        <v>432</v>
      </c>
      <c r="H73" t="s">
        <v>433</v>
      </c>
      <c r="I73" t="s">
        <v>434</v>
      </c>
    </row>
    <row r="74" spans="1:9" x14ac:dyDescent="0.35">
      <c r="A74" t="s">
        <v>435</v>
      </c>
      <c r="B74" t="s">
        <v>436</v>
      </c>
      <c r="C74">
        <v>2021</v>
      </c>
      <c r="D74">
        <v>8</v>
      </c>
      <c r="E74" t="s">
        <v>229</v>
      </c>
      <c r="F74" t="s">
        <v>437</v>
      </c>
      <c r="G74" t="s">
        <v>438</v>
      </c>
      <c r="H74" t="s">
        <v>439</v>
      </c>
      <c r="I74" t="s">
        <v>440</v>
      </c>
    </row>
    <row r="75" spans="1:9" x14ac:dyDescent="0.35">
      <c r="A75" t="s">
        <v>441</v>
      </c>
      <c r="B75" t="s">
        <v>442</v>
      </c>
      <c r="C75">
        <v>2019</v>
      </c>
      <c r="D75">
        <v>16</v>
      </c>
      <c r="E75" t="s">
        <v>229</v>
      </c>
      <c r="F75" t="s">
        <v>443</v>
      </c>
      <c r="G75" t="s">
        <v>444</v>
      </c>
      <c r="H75" t="s">
        <v>445</v>
      </c>
      <c r="I75" t="s">
        <v>446</v>
      </c>
    </row>
    <row r="76" spans="1:9" x14ac:dyDescent="0.35">
      <c r="A76" t="s">
        <v>447</v>
      </c>
      <c r="B76" t="s">
        <v>448</v>
      </c>
      <c r="C76">
        <v>2024</v>
      </c>
      <c r="D76">
        <v>12</v>
      </c>
      <c r="E76" t="s">
        <v>229</v>
      </c>
      <c r="F76" t="s">
        <v>449</v>
      </c>
      <c r="G76" t="s">
        <v>450</v>
      </c>
      <c r="H76" t="s">
        <v>451</v>
      </c>
      <c r="I76" t="s">
        <v>452</v>
      </c>
    </row>
    <row r="77" spans="1:9" x14ac:dyDescent="0.35">
      <c r="A77" t="s">
        <v>453</v>
      </c>
      <c r="B77" t="s">
        <v>454</v>
      </c>
      <c r="C77">
        <v>2019</v>
      </c>
      <c r="D77">
        <v>16</v>
      </c>
      <c r="E77" t="s">
        <v>229</v>
      </c>
      <c r="F77" t="s">
        <v>455</v>
      </c>
      <c r="G77" t="s">
        <v>456</v>
      </c>
      <c r="H77" t="s">
        <v>457</v>
      </c>
      <c r="I77" t="s">
        <v>458</v>
      </c>
    </row>
    <row r="78" spans="1:9" x14ac:dyDescent="0.35">
      <c r="A78" t="s">
        <v>459</v>
      </c>
      <c r="B78" t="s">
        <v>460</v>
      </c>
      <c r="C78">
        <v>2016</v>
      </c>
      <c r="D78">
        <v>20</v>
      </c>
      <c r="E78" t="s">
        <v>229</v>
      </c>
      <c r="F78" t="s">
        <v>461</v>
      </c>
      <c r="G78" t="s">
        <v>462</v>
      </c>
      <c r="H78" t="s">
        <v>463</v>
      </c>
      <c r="I78" t="s">
        <v>464</v>
      </c>
    </row>
    <row r="79" spans="1:9" x14ac:dyDescent="0.35">
      <c r="A79" t="s">
        <v>465</v>
      </c>
      <c r="B79" t="s">
        <v>466</v>
      </c>
      <c r="C79">
        <v>2016</v>
      </c>
      <c r="D79">
        <v>16</v>
      </c>
      <c r="E79" t="s">
        <v>229</v>
      </c>
      <c r="F79" t="s">
        <v>467</v>
      </c>
      <c r="G79" t="s">
        <v>468</v>
      </c>
      <c r="H79" t="s">
        <v>469</v>
      </c>
      <c r="I79" t="s">
        <v>470</v>
      </c>
    </row>
    <row r="80" spans="1:9" x14ac:dyDescent="0.35">
      <c r="A80" t="s">
        <v>471</v>
      </c>
      <c r="B80" t="s">
        <v>472</v>
      </c>
      <c r="C80">
        <v>2021</v>
      </c>
      <c r="D80">
        <v>16</v>
      </c>
      <c r="E80" t="s">
        <v>229</v>
      </c>
      <c r="F80" t="s">
        <v>473</v>
      </c>
      <c r="G80" t="s">
        <v>254</v>
      </c>
      <c r="H80" t="s">
        <v>474</v>
      </c>
      <c r="I80" t="s">
        <v>475</v>
      </c>
    </row>
    <row r="81" spans="1:9" x14ac:dyDescent="0.35">
      <c r="A81" t="s">
        <v>476</v>
      </c>
      <c r="B81" t="s">
        <v>477</v>
      </c>
      <c r="C81">
        <v>2019</v>
      </c>
      <c r="D81">
        <v>10</v>
      </c>
      <c r="E81" t="s">
        <v>229</v>
      </c>
      <c r="F81" t="s">
        <v>478</v>
      </c>
      <c r="G81" t="s">
        <v>479</v>
      </c>
      <c r="H81" t="s">
        <v>480</v>
      </c>
      <c r="I81" t="s">
        <v>481</v>
      </c>
    </row>
    <row r="82" spans="1:9" x14ac:dyDescent="0.35">
      <c r="A82" t="s">
        <v>482</v>
      </c>
      <c r="B82" t="s">
        <v>483</v>
      </c>
      <c r="C82">
        <v>2018</v>
      </c>
      <c r="D82">
        <v>18</v>
      </c>
      <c r="E82" t="s">
        <v>229</v>
      </c>
      <c r="F82" t="s">
        <v>484</v>
      </c>
      <c r="G82" t="s">
        <v>485</v>
      </c>
      <c r="H82" t="s">
        <v>486</v>
      </c>
      <c r="I82" t="s">
        <v>487</v>
      </c>
    </row>
    <row r="83" spans="1:9" x14ac:dyDescent="0.35">
      <c r="A83" t="s">
        <v>488</v>
      </c>
      <c r="B83" t="s">
        <v>489</v>
      </c>
      <c r="C83">
        <v>2017</v>
      </c>
      <c r="D83">
        <v>16</v>
      </c>
      <c r="E83" t="s">
        <v>229</v>
      </c>
      <c r="F83" t="s">
        <v>490</v>
      </c>
      <c r="G83" t="s">
        <v>491</v>
      </c>
      <c r="H83" t="s">
        <v>492</v>
      </c>
      <c r="I83" t="s">
        <v>493</v>
      </c>
    </row>
    <row r="84" spans="1:9" x14ac:dyDescent="0.35">
      <c r="A84" t="s">
        <v>494</v>
      </c>
      <c r="B84" t="s">
        <v>495</v>
      </c>
      <c r="C84">
        <v>2022</v>
      </c>
      <c r="D84">
        <v>16</v>
      </c>
      <c r="E84" t="s">
        <v>496</v>
      </c>
      <c r="F84" t="s">
        <v>497</v>
      </c>
      <c r="G84" t="s">
        <v>386</v>
      </c>
      <c r="H84" t="s">
        <v>498</v>
      </c>
      <c r="I84" t="s">
        <v>499</v>
      </c>
    </row>
    <row r="85" spans="1:9" x14ac:dyDescent="0.35">
      <c r="A85" t="s">
        <v>500</v>
      </c>
      <c r="B85" t="s">
        <v>501</v>
      </c>
      <c r="C85">
        <v>2019</v>
      </c>
      <c r="D85">
        <v>32</v>
      </c>
      <c r="E85" t="s">
        <v>496</v>
      </c>
      <c r="F85" t="s">
        <v>502</v>
      </c>
      <c r="G85" t="s">
        <v>503</v>
      </c>
      <c r="H85" t="s">
        <v>504</v>
      </c>
      <c r="I85" t="s">
        <v>505</v>
      </c>
    </row>
    <row r="86" spans="1:9" x14ac:dyDescent="0.35">
      <c r="A86" t="s">
        <v>506</v>
      </c>
      <c r="B86" t="s">
        <v>507</v>
      </c>
      <c r="C86">
        <v>2003</v>
      </c>
      <c r="D86">
        <v>54</v>
      </c>
      <c r="E86" t="s">
        <v>496</v>
      </c>
      <c r="F86" t="s">
        <v>508</v>
      </c>
      <c r="G86" t="s">
        <v>509</v>
      </c>
      <c r="H86" t="s">
        <v>510</v>
      </c>
      <c r="I86" t="s">
        <v>511</v>
      </c>
    </row>
    <row r="87" spans="1:9" x14ac:dyDescent="0.35">
      <c r="A87" t="s">
        <v>512</v>
      </c>
      <c r="B87" t="s">
        <v>513</v>
      </c>
      <c r="C87">
        <v>2014</v>
      </c>
      <c r="D87">
        <v>16</v>
      </c>
      <c r="E87" t="s">
        <v>496</v>
      </c>
      <c r="F87" t="s">
        <v>514</v>
      </c>
      <c r="G87" t="s">
        <v>114</v>
      </c>
      <c r="H87" t="s">
        <v>515</v>
      </c>
      <c r="I87" t="s">
        <v>516</v>
      </c>
    </row>
    <row r="88" spans="1:9" x14ac:dyDescent="0.35">
      <c r="A88" t="s">
        <v>517</v>
      </c>
      <c r="B88" t="s">
        <v>518</v>
      </c>
      <c r="C88">
        <v>2025</v>
      </c>
      <c r="D88">
        <v>12</v>
      </c>
      <c r="E88" t="s">
        <v>496</v>
      </c>
      <c r="F88" t="s">
        <v>519</v>
      </c>
      <c r="G88" t="s">
        <v>520</v>
      </c>
      <c r="H88" t="s">
        <v>521</v>
      </c>
      <c r="I88" t="s">
        <v>522</v>
      </c>
    </row>
    <row r="89" spans="1:9" x14ac:dyDescent="0.35">
      <c r="A89" t="s">
        <v>523</v>
      </c>
      <c r="B89" t="s">
        <v>524</v>
      </c>
      <c r="C89">
        <v>2022</v>
      </c>
      <c r="D89">
        <v>12</v>
      </c>
      <c r="E89" t="s">
        <v>496</v>
      </c>
      <c r="F89" t="s">
        <v>525</v>
      </c>
      <c r="G89" t="s">
        <v>284</v>
      </c>
      <c r="H89" t="s">
        <v>526</v>
      </c>
      <c r="I89" t="s">
        <v>527</v>
      </c>
    </row>
    <row r="90" spans="1:9" x14ac:dyDescent="0.35">
      <c r="A90" t="s">
        <v>528</v>
      </c>
      <c r="B90" t="s">
        <v>529</v>
      </c>
      <c r="C90">
        <v>2022</v>
      </c>
      <c r="D90">
        <v>16</v>
      </c>
      <c r="E90" t="s">
        <v>496</v>
      </c>
      <c r="F90" t="s">
        <v>530</v>
      </c>
      <c r="G90" t="s">
        <v>531</v>
      </c>
      <c r="H90" t="s">
        <v>532</v>
      </c>
      <c r="I90" t="s">
        <v>533</v>
      </c>
    </row>
    <row r="91" spans="1:9" x14ac:dyDescent="0.35">
      <c r="A91" t="s">
        <v>534</v>
      </c>
      <c r="B91" t="s">
        <v>535</v>
      </c>
      <c r="C91">
        <v>2018</v>
      </c>
      <c r="D91">
        <v>20</v>
      </c>
      <c r="E91" t="s">
        <v>496</v>
      </c>
      <c r="F91" t="s">
        <v>536</v>
      </c>
      <c r="G91" t="s">
        <v>537</v>
      </c>
      <c r="H91" t="s">
        <v>538</v>
      </c>
      <c r="I91" t="s">
        <v>539</v>
      </c>
    </row>
    <row r="92" spans="1:9" x14ac:dyDescent="0.35">
      <c r="A92" t="s">
        <v>540</v>
      </c>
      <c r="B92" t="s">
        <v>541</v>
      </c>
      <c r="C92">
        <v>2012</v>
      </c>
      <c r="D92">
        <v>28</v>
      </c>
      <c r="E92" t="s">
        <v>496</v>
      </c>
      <c r="F92" t="s">
        <v>542</v>
      </c>
      <c r="G92" t="s">
        <v>543</v>
      </c>
      <c r="H92" t="s">
        <v>544</v>
      </c>
      <c r="I92" t="s">
        <v>545</v>
      </c>
    </row>
    <row r="93" spans="1:9" x14ac:dyDescent="0.35">
      <c r="A93" t="s">
        <v>546</v>
      </c>
      <c r="B93" t="s">
        <v>547</v>
      </c>
      <c r="C93">
        <v>2023</v>
      </c>
      <c r="D93">
        <v>12</v>
      </c>
      <c r="E93" t="s">
        <v>496</v>
      </c>
      <c r="F93" t="s">
        <v>548</v>
      </c>
      <c r="G93" t="s">
        <v>549</v>
      </c>
      <c r="H93" t="s">
        <v>550</v>
      </c>
      <c r="I93" t="s">
        <v>551</v>
      </c>
    </row>
    <row r="94" spans="1:9" x14ac:dyDescent="0.35">
      <c r="A94" t="s">
        <v>552</v>
      </c>
      <c r="B94" t="s">
        <v>553</v>
      </c>
      <c r="C94">
        <v>2018</v>
      </c>
      <c r="D94">
        <v>32</v>
      </c>
      <c r="E94" t="s">
        <v>496</v>
      </c>
      <c r="F94" t="s">
        <v>554</v>
      </c>
      <c r="G94" t="s">
        <v>555</v>
      </c>
      <c r="H94" t="s">
        <v>556</v>
      </c>
      <c r="I94" t="s">
        <v>557</v>
      </c>
    </row>
    <row r="95" spans="1:9" x14ac:dyDescent="0.35">
      <c r="A95" t="s">
        <v>558</v>
      </c>
      <c r="B95" t="s">
        <v>559</v>
      </c>
      <c r="C95">
        <v>2017</v>
      </c>
      <c r="D95">
        <v>20</v>
      </c>
      <c r="E95" t="s">
        <v>496</v>
      </c>
      <c r="F95" t="s">
        <v>560</v>
      </c>
      <c r="G95" t="s">
        <v>561</v>
      </c>
      <c r="H95" t="s">
        <v>562</v>
      </c>
      <c r="I95" t="s">
        <v>563</v>
      </c>
    </row>
    <row r="96" spans="1:9" x14ac:dyDescent="0.35">
      <c r="A96" t="s">
        <v>564</v>
      </c>
      <c r="B96" t="s">
        <v>565</v>
      </c>
      <c r="C96">
        <v>2022</v>
      </c>
      <c r="D96">
        <v>12</v>
      </c>
      <c r="E96" t="s">
        <v>496</v>
      </c>
      <c r="F96" t="s">
        <v>566</v>
      </c>
      <c r="G96" t="s">
        <v>567</v>
      </c>
      <c r="H96" t="s">
        <v>568</v>
      </c>
      <c r="I96" t="s">
        <v>569</v>
      </c>
    </row>
    <row r="97" spans="1:9" x14ac:dyDescent="0.35">
      <c r="A97" t="s">
        <v>570</v>
      </c>
      <c r="B97" t="s">
        <v>571</v>
      </c>
      <c r="C97">
        <v>2022</v>
      </c>
      <c r="D97">
        <v>16</v>
      </c>
      <c r="E97" t="s">
        <v>496</v>
      </c>
      <c r="F97" t="s">
        <v>572</v>
      </c>
      <c r="G97" t="s">
        <v>573</v>
      </c>
      <c r="H97" t="s">
        <v>574</v>
      </c>
      <c r="I97" t="s">
        <v>575</v>
      </c>
    </row>
    <row r="98" spans="1:9" x14ac:dyDescent="0.35">
      <c r="A98" t="s">
        <v>576</v>
      </c>
      <c r="B98" t="s">
        <v>577</v>
      </c>
      <c r="C98">
        <v>2017</v>
      </c>
      <c r="D98">
        <v>12</v>
      </c>
      <c r="E98" t="s">
        <v>496</v>
      </c>
      <c r="F98" t="s">
        <v>578</v>
      </c>
      <c r="G98" t="s">
        <v>579</v>
      </c>
      <c r="H98" t="s">
        <v>580</v>
      </c>
      <c r="I98" t="s">
        <v>581</v>
      </c>
    </row>
    <row r="99" spans="1:9" x14ac:dyDescent="0.35">
      <c r="A99" t="s">
        <v>582</v>
      </c>
      <c r="B99" t="s">
        <v>583</v>
      </c>
      <c r="C99">
        <v>2013</v>
      </c>
      <c r="D99">
        <v>51</v>
      </c>
      <c r="E99" t="s">
        <v>496</v>
      </c>
      <c r="F99" t="s">
        <v>584</v>
      </c>
      <c r="G99" t="s">
        <v>585</v>
      </c>
      <c r="H99" t="s">
        <v>586</v>
      </c>
      <c r="I99" t="s">
        <v>587</v>
      </c>
    </row>
    <row r="100" spans="1:9" x14ac:dyDescent="0.35">
      <c r="A100" t="s">
        <v>588</v>
      </c>
      <c r="B100" t="s">
        <v>589</v>
      </c>
      <c r="C100">
        <v>2017</v>
      </c>
      <c r="D100">
        <v>52</v>
      </c>
      <c r="E100" t="s">
        <v>496</v>
      </c>
      <c r="F100" t="s">
        <v>590</v>
      </c>
      <c r="G100" t="s">
        <v>591</v>
      </c>
      <c r="H100" t="s">
        <v>592</v>
      </c>
      <c r="I100" t="s">
        <v>593</v>
      </c>
    </row>
    <row r="101" spans="1:9" x14ac:dyDescent="0.35">
      <c r="A101" t="s">
        <v>594</v>
      </c>
      <c r="B101" t="s">
        <v>595</v>
      </c>
      <c r="C101">
        <v>2024</v>
      </c>
      <c r="D101">
        <v>8</v>
      </c>
      <c r="E101" t="s">
        <v>496</v>
      </c>
      <c r="F101" t="s">
        <v>596</v>
      </c>
      <c r="G101" t="s">
        <v>597</v>
      </c>
      <c r="H101" t="s">
        <v>598</v>
      </c>
      <c r="I101" t="s">
        <v>599</v>
      </c>
    </row>
    <row r="102" spans="1:9" x14ac:dyDescent="0.35">
      <c r="A102" t="s">
        <v>600</v>
      </c>
      <c r="B102" t="s">
        <v>601</v>
      </c>
      <c r="C102">
        <v>2020</v>
      </c>
      <c r="D102">
        <v>100</v>
      </c>
      <c r="E102" t="s">
        <v>496</v>
      </c>
      <c r="F102" t="s">
        <v>602</v>
      </c>
      <c r="G102" t="s">
        <v>591</v>
      </c>
      <c r="H102" t="s">
        <v>603</v>
      </c>
      <c r="I102" t="s">
        <v>604</v>
      </c>
    </row>
    <row r="103" spans="1:9" x14ac:dyDescent="0.35">
      <c r="A103" t="s">
        <v>605</v>
      </c>
      <c r="B103" t="s">
        <v>606</v>
      </c>
      <c r="C103">
        <v>2020</v>
      </c>
      <c r="D103">
        <v>12</v>
      </c>
      <c r="E103" t="s">
        <v>496</v>
      </c>
      <c r="F103" t="s">
        <v>607</v>
      </c>
      <c r="G103" t="s">
        <v>608</v>
      </c>
      <c r="H103" t="s">
        <v>609</v>
      </c>
      <c r="I103" t="s">
        <v>610</v>
      </c>
    </row>
    <row r="104" spans="1:9" x14ac:dyDescent="0.35">
      <c r="A104" t="s">
        <v>611</v>
      </c>
      <c r="B104" t="s">
        <v>612</v>
      </c>
      <c r="C104">
        <v>2020</v>
      </c>
      <c r="D104">
        <v>16</v>
      </c>
      <c r="E104" t="s">
        <v>496</v>
      </c>
      <c r="F104" t="s">
        <v>613</v>
      </c>
      <c r="G104" t="s">
        <v>193</v>
      </c>
      <c r="H104" t="s">
        <v>614</v>
      </c>
      <c r="I104" t="s">
        <v>615</v>
      </c>
    </row>
    <row r="105" spans="1:9" x14ac:dyDescent="0.35">
      <c r="A105" t="s">
        <v>616</v>
      </c>
      <c r="B105" t="s">
        <v>617</v>
      </c>
      <c r="C105">
        <v>2019</v>
      </c>
      <c r="D105">
        <v>16</v>
      </c>
      <c r="E105" t="s">
        <v>496</v>
      </c>
      <c r="F105" t="s">
        <v>618</v>
      </c>
      <c r="G105" t="s">
        <v>619</v>
      </c>
      <c r="H105" t="s">
        <v>620</v>
      </c>
      <c r="I105" t="s">
        <v>621</v>
      </c>
    </row>
    <row r="106" spans="1:9" x14ac:dyDescent="0.35">
      <c r="A106" t="s">
        <v>622</v>
      </c>
      <c r="B106" t="s">
        <v>623</v>
      </c>
      <c r="C106">
        <v>2022</v>
      </c>
      <c r="D106">
        <v>10</v>
      </c>
      <c r="E106" t="s">
        <v>496</v>
      </c>
      <c r="F106" t="s">
        <v>624</v>
      </c>
      <c r="G106" t="s">
        <v>625</v>
      </c>
      <c r="H106" t="s">
        <v>626</v>
      </c>
      <c r="I106" t="s">
        <v>627</v>
      </c>
    </row>
    <row r="107" spans="1:9" x14ac:dyDescent="0.35">
      <c r="A107" t="s">
        <v>628</v>
      </c>
      <c r="B107" t="s">
        <v>629</v>
      </c>
      <c r="C107">
        <v>2013</v>
      </c>
      <c r="D107">
        <v>20</v>
      </c>
      <c r="E107" t="s">
        <v>496</v>
      </c>
      <c r="F107" t="s">
        <v>630</v>
      </c>
      <c r="G107" t="s">
        <v>631</v>
      </c>
      <c r="H107" t="s">
        <v>632</v>
      </c>
      <c r="I107" t="s">
        <v>633</v>
      </c>
    </row>
    <row r="108" spans="1:9" x14ac:dyDescent="0.35">
      <c r="A108" t="s">
        <v>634</v>
      </c>
      <c r="B108" t="s">
        <v>635</v>
      </c>
      <c r="C108">
        <v>2023</v>
      </c>
      <c r="D108">
        <v>16</v>
      </c>
      <c r="E108" t="s">
        <v>496</v>
      </c>
      <c r="F108" t="s">
        <v>636</v>
      </c>
      <c r="G108" t="s">
        <v>637</v>
      </c>
      <c r="H108" t="s">
        <v>638</v>
      </c>
      <c r="I108" t="s">
        <v>639</v>
      </c>
    </row>
    <row r="109" spans="1:9" x14ac:dyDescent="0.35">
      <c r="A109" t="s">
        <v>640</v>
      </c>
      <c r="B109" t="s">
        <v>641</v>
      </c>
      <c r="C109">
        <v>2013</v>
      </c>
      <c r="D109">
        <v>21</v>
      </c>
      <c r="E109" t="s">
        <v>496</v>
      </c>
      <c r="F109" t="s">
        <v>642</v>
      </c>
      <c r="G109" t="s">
        <v>643</v>
      </c>
      <c r="H109" t="s">
        <v>644</v>
      </c>
      <c r="I109" t="s">
        <v>645</v>
      </c>
    </row>
    <row r="110" spans="1:9" x14ac:dyDescent="0.35">
      <c r="A110" t="s">
        <v>646</v>
      </c>
      <c r="B110" t="s">
        <v>647</v>
      </c>
      <c r="C110">
        <v>2020</v>
      </c>
      <c r="D110">
        <v>12</v>
      </c>
      <c r="E110" t="s">
        <v>496</v>
      </c>
      <c r="F110" t="s">
        <v>648</v>
      </c>
      <c r="G110" t="s">
        <v>649</v>
      </c>
      <c r="H110" t="s">
        <v>650</v>
      </c>
      <c r="I110" t="s">
        <v>651</v>
      </c>
    </row>
    <row r="111" spans="1:9" x14ac:dyDescent="0.35">
      <c r="A111" t="s">
        <v>652</v>
      </c>
      <c r="B111" t="s">
        <v>653</v>
      </c>
      <c r="C111">
        <v>2016</v>
      </c>
      <c r="D111">
        <v>12</v>
      </c>
      <c r="E111" t="s">
        <v>496</v>
      </c>
      <c r="F111" t="s">
        <v>654</v>
      </c>
      <c r="G111" t="s">
        <v>655</v>
      </c>
      <c r="H111" t="s">
        <v>656</v>
      </c>
      <c r="I111" t="s">
        <v>657</v>
      </c>
    </row>
    <row r="112" spans="1:9" x14ac:dyDescent="0.35">
      <c r="A112" t="s">
        <v>658</v>
      </c>
      <c r="B112" t="s">
        <v>659</v>
      </c>
      <c r="C112">
        <v>2017</v>
      </c>
      <c r="D112">
        <v>16</v>
      </c>
      <c r="E112" t="s">
        <v>496</v>
      </c>
      <c r="F112" t="s">
        <v>660</v>
      </c>
      <c r="G112" t="s">
        <v>661</v>
      </c>
      <c r="H112" t="s">
        <v>662</v>
      </c>
      <c r="I112" t="s">
        <v>663</v>
      </c>
    </row>
    <row r="113" spans="1:9" x14ac:dyDescent="0.35">
      <c r="A113" t="s">
        <v>664</v>
      </c>
      <c r="B113" t="s">
        <v>665</v>
      </c>
      <c r="C113">
        <v>2017</v>
      </c>
      <c r="D113">
        <v>16</v>
      </c>
      <c r="E113" t="s">
        <v>496</v>
      </c>
      <c r="F113" t="s">
        <v>666</v>
      </c>
      <c r="G113" t="s">
        <v>272</v>
      </c>
      <c r="H113" t="s">
        <v>667</v>
      </c>
      <c r="I113" t="s">
        <v>668</v>
      </c>
    </row>
    <row r="114" spans="1:9" x14ac:dyDescent="0.35">
      <c r="A114" t="s">
        <v>669</v>
      </c>
      <c r="B114" t="s">
        <v>670</v>
      </c>
      <c r="C114">
        <v>2021</v>
      </c>
      <c r="D114">
        <v>12</v>
      </c>
      <c r="E114" t="s">
        <v>496</v>
      </c>
      <c r="F114" t="s">
        <v>671</v>
      </c>
      <c r="G114" t="s">
        <v>352</v>
      </c>
      <c r="H114" t="s">
        <v>672</v>
      </c>
      <c r="I114" t="s">
        <v>673</v>
      </c>
    </row>
    <row r="115" spans="1:9" x14ac:dyDescent="0.35">
      <c r="A115" t="s">
        <v>674</v>
      </c>
      <c r="B115">
        <v>365</v>
      </c>
      <c r="C115">
        <v>2020</v>
      </c>
      <c r="D115">
        <v>24</v>
      </c>
      <c r="E115" t="s">
        <v>496</v>
      </c>
      <c r="F115" t="s">
        <v>675</v>
      </c>
      <c r="G115" t="s">
        <v>676</v>
      </c>
      <c r="H115" t="s">
        <v>677</v>
      </c>
      <c r="I115" t="s">
        <v>678</v>
      </c>
    </row>
    <row r="116" spans="1:9" x14ac:dyDescent="0.35">
      <c r="A116" t="s">
        <v>679</v>
      </c>
      <c r="B116" t="s">
        <v>680</v>
      </c>
      <c r="C116">
        <v>2013</v>
      </c>
      <c r="D116">
        <v>17</v>
      </c>
      <c r="E116" t="s">
        <v>496</v>
      </c>
      <c r="F116" t="s">
        <v>681</v>
      </c>
      <c r="G116" t="s">
        <v>682</v>
      </c>
      <c r="H116" t="s">
        <v>683</v>
      </c>
      <c r="I116" t="s">
        <v>684</v>
      </c>
    </row>
    <row r="117" spans="1:9" x14ac:dyDescent="0.35">
      <c r="A117" t="s">
        <v>685</v>
      </c>
      <c r="B117" t="s">
        <v>686</v>
      </c>
      <c r="C117">
        <v>2017</v>
      </c>
      <c r="D117">
        <v>12</v>
      </c>
      <c r="E117" t="s">
        <v>496</v>
      </c>
      <c r="F117" t="s">
        <v>687</v>
      </c>
      <c r="G117" t="s">
        <v>688</v>
      </c>
      <c r="H117" t="s">
        <v>689</v>
      </c>
      <c r="I117" t="s">
        <v>690</v>
      </c>
    </row>
    <row r="118" spans="1:9" x14ac:dyDescent="0.35">
      <c r="A118" t="s">
        <v>691</v>
      </c>
      <c r="B118" t="s">
        <v>692</v>
      </c>
      <c r="C118">
        <v>2017</v>
      </c>
      <c r="D118">
        <v>30</v>
      </c>
      <c r="E118" t="s">
        <v>693</v>
      </c>
      <c r="F118" t="s">
        <v>694</v>
      </c>
      <c r="G118" t="s">
        <v>695</v>
      </c>
      <c r="H118" t="s">
        <v>696</v>
      </c>
      <c r="I118" t="s">
        <v>697</v>
      </c>
    </row>
    <row r="119" spans="1:9" x14ac:dyDescent="0.35">
      <c r="A119" t="s">
        <v>698</v>
      </c>
      <c r="B119" t="s">
        <v>699</v>
      </c>
      <c r="C119">
        <v>2024</v>
      </c>
      <c r="D119">
        <v>10</v>
      </c>
      <c r="E119" t="s">
        <v>693</v>
      </c>
      <c r="F119" t="s">
        <v>700</v>
      </c>
      <c r="G119" t="s">
        <v>701</v>
      </c>
      <c r="H119" t="s">
        <v>702</v>
      </c>
      <c r="I119" t="s">
        <v>703</v>
      </c>
    </row>
    <row r="120" spans="1:9" x14ac:dyDescent="0.35">
      <c r="A120" t="s">
        <v>704</v>
      </c>
      <c r="B120" t="s">
        <v>705</v>
      </c>
      <c r="C120">
        <v>2020</v>
      </c>
      <c r="D120">
        <v>16</v>
      </c>
      <c r="E120" t="s">
        <v>693</v>
      </c>
      <c r="F120" t="s">
        <v>706</v>
      </c>
      <c r="G120" t="s">
        <v>707</v>
      </c>
      <c r="H120" t="s">
        <v>708</v>
      </c>
      <c r="I120" t="s">
        <v>709</v>
      </c>
    </row>
    <row r="121" spans="1:9" x14ac:dyDescent="0.35">
      <c r="A121" t="s">
        <v>710</v>
      </c>
      <c r="B121" t="s">
        <v>711</v>
      </c>
      <c r="C121">
        <v>2014</v>
      </c>
      <c r="D121">
        <v>11</v>
      </c>
      <c r="E121" t="s">
        <v>693</v>
      </c>
      <c r="F121" t="s">
        <v>712</v>
      </c>
      <c r="G121" t="s">
        <v>713</v>
      </c>
      <c r="H121" t="s">
        <v>714</v>
      </c>
      <c r="I121" t="s">
        <v>715</v>
      </c>
    </row>
    <row r="122" spans="1:9" x14ac:dyDescent="0.35">
      <c r="A122" t="s">
        <v>716</v>
      </c>
      <c r="B122" t="s">
        <v>717</v>
      </c>
      <c r="C122">
        <v>2019</v>
      </c>
      <c r="D122">
        <v>16</v>
      </c>
      <c r="E122" t="s">
        <v>693</v>
      </c>
      <c r="F122" t="s">
        <v>718</v>
      </c>
      <c r="G122" t="s">
        <v>719</v>
      </c>
      <c r="H122" t="s">
        <v>720</v>
      </c>
      <c r="I122" t="s">
        <v>721</v>
      </c>
    </row>
    <row r="123" spans="1:9" x14ac:dyDescent="0.35">
      <c r="A123" t="s">
        <v>722</v>
      </c>
      <c r="B123" t="s">
        <v>723</v>
      </c>
      <c r="C123">
        <v>2024</v>
      </c>
      <c r="D123">
        <v>16</v>
      </c>
      <c r="E123" t="s">
        <v>693</v>
      </c>
      <c r="F123" t="s">
        <v>724</v>
      </c>
      <c r="G123" t="s">
        <v>725</v>
      </c>
      <c r="H123" t="s">
        <v>726</v>
      </c>
      <c r="I123" t="s">
        <v>727</v>
      </c>
    </row>
    <row r="124" spans="1:9" x14ac:dyDescent="0.35">
      <c r="A124" t="s">
        <v>728</v>
      </c>
      <c r="B124" t="s">
        <v>729</v>
      </c>
      <c r="C124">
        <v>2019</v>
      </c>
      <c r="D124">
        <v>6</v>
      </c>
      <c r="E124" t="s">
        <v>693</v>
      </c>
      <c r="F124" t="s">
        <v>730</v>
      </c>
      <c r="G124" t="s">
        <v>358</v>
      </c>
      <c r="H124" t="s">
        <v>731</v>
      </c>
      <c r="I124" t="s">
        <v>732</v>
      </c>
    </row>
    <row r="125" spans="1:9" x14ac:dyDescent="0.35">
      <c r="A125" t="s">
        <v>733</v>
      </c>
      <c r="B125" t="s">
        <v>734</v>
      </c>
      <c r="C125">
        <v>2020</v>
      </c>
      <c r="D125">
        <v>16</v>
      </c>
      <c r="E125" t="s">
        <v>693</v>
      </c>
      <c r="F125" t="s">
        <v>735</v>
      </c>
      <c r="G125" t="s">
        <v>736</v>
      </c>
      <c r="H125" t="s">
        <v>737</v>
      </c>
      <c r="I125" t="s">
        <v>738</v>
      </c>
    </row>
    <row r="126" spans="1:9" x14ac:dyDescent="0.35">
      <c r="A126" t="s">
        <v>739</v>
      </c>
      <c r="B126" t="s">
        <v>740</v>
      </c>
      <c r="C126">
        <v>2013</v>
      </c>
      <c r="D126">
        <v>18</v>
      </c>
      <c r="E126" t="s">
        <v>693</v>
      </c>
      <c r="F126" t="s">
        <v>741</v>
      </c>
      <c r="G126" t="s">
        <v>742</v>
      </c>
      <c r="H126" t="s">
        <v>743</v>
      </c>
      <c r="I126" t="s">
        <v>744</v>
      </c>
    </row>
    <row r="127" spans="1:9" x14ac:dyDescent="0.35">
      <c r="A127" t="s">
        <v>745</v>
      </c>
      <c r="B127" t="s">
        <v>746</v>
      </c>
      <c r="C127">
        <v>2018</v>
      </c>
      <c r="D127">
        <v>16</v>
      </c>
      <c r="E127" t="s">
        <v>693</v>
      </c>
      <c r="F127" t="s">
        <v>747</v>
      </c>
      <c r="G127" t="s">
        <v>748</v>
      </c>
      <c r="H127" t="s">
        <v>749</v>
      </c>
      <c r="I127" t="s">
        <v>750</v>
      </c>
    </row>
    <row r="128" spans="1:9" x14ac:dyDescent="0.35">
      <c r="A128" t="s">
        <v>751</v>
      </c>
      <c r="B128" t="s">
        <v>752</v>
      </c>
      <c r="C128">
        <v>2019</v>
      </c>
      <c r="D128">
        <v>16</v>
      </c>
      <c r="E128" t="s">
        <v>693</v>
      </c>
      <c r="F128" t="s">
        <v>753</v>
      </c>
      <c r="G128" t="s">
        <v>754</v>
      </c>
      <c r="H128" t="s">
        <v>755</v>
      </c>
      <c r="I128" t="s">
        <v>756</v>
      </c>
    </row>
    <row r="129" spans="1:9" x14ac:dyDescent="0.35">
      <c r="A129" t="s">
        <v>757</v>
      </c>
      <c r="B129" t="s">
        <v>758</v>
      </c>
      <c r="C129">
        <v>2021</v>
      </c>
      <c r="D129">
        <v>8</v>
      </c>
      <c r="E129" t="s">
        <v>693</v>
      </c>
      <c r="F129" t="s">
        <v>759</v>
      </c>
      <c r="G129" t="s">
        <v>760</v>
      </c>
      <c r="H129" t="s">
        <v>761</v>
      </c>
      <c r="I129" t="s">
        <v>762</v>
      </c>
    </row>
    <row r="130" spans="1:9" x14ac:dyDescent="0.35">
      <c r="A130" t="s">
        <v>763</v>
      </c>
      <c r="B130" t="s">
        <v>764</v>
      </c>
      <c r="C130">
        <v>2012</v>
      </c>
      <c r="D130">
        <v>16</v>
      </c>
      <c r="E130" t="s">
        <v>693</v>
      </c>
      <c r="F130" t="s">
        <v>765</v>
      </c>
      <c r="G130" t="s">
        <v>766</v>
      </c>
      <c r="H130" t="s">
        <v>767</v>
      </c>
      <c r="I130" t="s">
        <v>768</v>
      </c>
    </row>
    <row r="131" spans="1:9" x14ac:dyDescent="0.35">
      <c r="A131" t="s">
        <v>769</v>
      </c>
      <c r="B131" t="s">
        <v>770</v>
      </c>
      <c r="C131">
        <v>2019</v>
      </c>
      <c r="D131">
        <v>32</v>
      </c>
      <c r="E131" t="s">
        <v>693</v>
      </c>
      <c r="F131" t="s">
        <v>771</v>
      </c>
      <c r="G131" t="s">
        <v>772</v>
      </c>
      <c r="H131" t="s">
        <v>773</v>
      </c>
      <c r="I131" t="s">
        <v>774</v>
      </c>
    </row>
    <row r="132" spans="1:9" x14ac:dyDescent="0.35">
      <c r="A132" t="s">
        <v>775</v>
      </c>
      <c r="B132" t="s">
        <v>776</v>
      </c>
      <c r="C132">
        <v>2020</v>
      </c>
      <c r="D132">
        <v>16</v>
      </c>
      <c r="E132" t="s">
        <v>693</v>
      </c>
      <c r="F132" t="s">
        <v>777</v>
      </c>
      <c r="G132" t="s">
        <v>778</v>
      </c>
      <c r="H132" t="s">
        <v>779</v>
      </c>
      <c r="I132" t="s">
        <v>780</v>
      </c>
    </row>
    <row r="133" spans="1:9" x14ac:dyDescent="0.35">
      <c r="A133" t="s">
        <v>781</v>
      </c>
      <c r="B133" t="s">
        <v>782</v>
      </c>
      <c r="C133">
        <v>2017</v>
      </c>
      <c r="D133">
        <v>16</v>
      </c>
      <c r="E133" t="s">
        <v>693</v>
      </c>
      <c r="F133" t="s">
        <v>783</v>
      </c>
      <c r="G133" t="s">
        <v>784</v>
      </c>
      <c r="H133" t="s">
        <v>785</v>
      </c>
      <c r="I133" t="s">
        <v>786</v>
      </c>
    </row>
    <row r="134" spans="1:9" x14ac:dyDescent="0.35">
      <c r="A134" t="s">
        <v>787</v>
      </c>
      <c r="B134" t="s">
        <v>788</v>
      </c>
      <c r="C134">
        <v>2017</v>
      </c>
      <c r="D134">
        <v>16</v>
      </c>
      <c r="E134" t="s">
        <v>693</v>
      </c>
      <c r="F134" t="s">
        <v>789</v>
      </c>
      <c r="G134" t="s">
        <v>790</v>
      </c>
      <c r="H134" t="s">
        <v>791</v>
      </c>
      <c r="I134" t="s">
        <v>792</v>
      </c>
    </row>
    <row r="135" spans="1:9" x14ac:dyDescent="0.35">
      <c r="A135" t="s">
        <v>793</v>
      </c>
      <c r="B135" t="s">
        <v>794</v>
      </c>
      <c r="C135">
        <v>2021</v>
      </c>
      <c r="D135">
        <v>9</v>
      </c>
      <c r="E135" t="s">
        <v>693</v>
      </c>
      <c r="F135" t="s">
        <v>795</v>
      </c>
      <c r="G135" t="s">
        <v>272</v>
      </c>
      <c r="H135" t="s">
        <v>796</v>
      </c>
      <c r="I135" t="s">
        <v>797</v>
      </c>
    </row>
    <row r="136" spans="1:9" x14ac:dyDescent="0.35">
      <c r="A136" t="s">
        <v>798</v>
      </c>
      <c r="B136" t="s">
        <v>799</v>
      </c>
      <c r="C136">
        <v>2016</v>
      </c>
      <c r="D136">
        <v>16</v>
      </c>
      <c r="E136" t="s">
        <v>693</v>
      </c>
      <c r="F136" t="s">
        <v>800</v>
      </c>
      <c r="G136" t="s">
        <v>801</v>
      </c>
      <c r="H136" t="s">
        <v>802</v>
      </c>
      <c r="I136" t="s">
        <v>803</v>
      </c>
    </row>
    <row r="137" spans="1:9" x14ac:dyDescent="0.35">
      <c r="A137" t="s">
        <v>804</v>
      </c>
      <c r="B137" t="s">
        <v>805</v>
      </c>
      <c r="C137">
        <v>2009</v>
      </c>
      <c r="D137">
        <v>62</v>
      </c>
      <c r="E137" t="s">
        <v>693</v>
      </c>
      <c r="F137" t="s">
        <v>806</v>
      </c>
      <c r="G137" t="s">
        <v>807</v>
      </c>
      <c r="H137" t="s">
        <v>808</v>
      </c>
      <c r="I137" t="s">
        <v>809</v>
      </c>
    </row>
    <row r="138" spans="1:9" x14ac:dyDescent="0.35">
      <c r="A138" t="s">
        <v>810</v>
      </c>
      <c r="B138" t="s">
        <v>811</v>
      </c>
      <c r="C138">
        <v>2021</v>
      </c>
      <c r="D138">
        <v>13</v>
      </c>
      <c r="E138" t="s">
        <v>693</v>
      </c>
      <c r="F138" t="s">
        <v>812</v>
      </c>
      <c r="G138" t="s">
        <v>409</v>
      </c>
      <c r="H138" t="s">
        <v>813</v>
      </c>
      <c r="I138" t="s">
        <v>814</v>
      </c>
    </row>
    <row r="139" spans="1:9" x14ac:dyDescent="0.35">
      <c r="A139" t="s">
        <v>815</v>
      </c>
      <c r="B139" t="s">
        <v>816</v>
      </c>
      <c r="C139">
        <v>2021</v>
      </c>
      <c r="D139">
        <v>16</v>
      </c>
      <c r="E139" t="s">
        <v>693</v>
      </c>
      <c r="F139" t="s">
        <v>817</v>
      </c>
      <c r="G139" t="s">
        <v>818</v>
      </c>
      <c r="H139" t="s">
        <v>819</v>
      </c>
      <c r="I139" t="s">
        <v>820</v>
      </c>
    </row>
    <row r="140" spans="1:9" x14ac:dyDescent="0.35">
      <c r="A140" t="s">
        <v>821</v>
      </c>
      <c r="B140" t="s">
        <v>822</v>
      </c>
      <c r="C140">
        <v>2018</v>
      </c>
      <c r="D140">
        <v>32</v>
      </c>
      <c r="E140" t="s">
        <v>693</v>
      </c>
      <c r="F140" t="s">
        <v>823</v>
      </c>
      <c r="G140" t="s">
        <v>824</v>
      </c>
      <c r="H140" t="s">
        <v>825</v>
      </c>
      <c r="I140" t="s">
        <v>826</v>
      </c>
    </row>
    <row r="141" spans="1:9" x14ac:dyDescent="0.35">
      <c r="A141" t="s">
        <v>827</v>
      </c>
      <c r="B141" t="s">
        <v>828</v>
      </c>
      <c r="C141">
        <v>2019</v>
      </c>
      <c r="D141">
        <v>40</v>
      </c>
      <c r="E141" t="s">
        <v>693</v>
      </c>
      <c r="F141" t="s">
        <v>829</v>
      </c>
      <c r="G141" t="s">
        <v>830</v>
      </c>
      <c r="H141" t="s">
        <v>831</v>
      </c>
      <c r="I141" t="s">
        <v>832</v>
      </c>
    </row>
    <row r="142" spans="1:9" x14ac:dyDescent="0.35">
      <c r="A142" t="s">
        <v>833</v>
      </c>
      <c r="B142" t="s">
        <v>834</v>
      </c>
      <c r="C142">
        <v>2019</v>
      </c>
      <c r="D142">
        <v>16</v>
      </c>
      <c r="E142" t="s">
        <v>693</v>
      </c>
      <c r="F142" t="s">
        <v>835</v>
      </c>
      <c r="G142" t="s">
        <v>836</v>
      </c>
      <c r="H142" t="s">
        <v>837</v>
      </c>
      <c r="I142" t="s">
        <v>838</v>
      </c>
    </row>
    <row r="143" spans="1:9" x14ac:dyDescent="0.35">
      <c r="A143" t="s">
        <v>839</v>
      </c>
      <c r="B143" t="s">
        <v>840</v>
      </c>
      <c r="C143">
        <v>2024</v>
      </c>
      <c r="D143">
        <v>16</v>
      </c>
      <c r="E143" t="s">
        <v>693</v>
      </c>
      <c r="F143" t="s">
        <v>841</v>
      </c>
      <c r="G143" t="s">
        <v>842</v>
      </c>
      <c r="H143" t="s">
        <v>843</v>
      </c>
      <c r="I143" t="s">
        <v>844</v>
      </c>
    </row>
    <row r="144" spans="1:9" x14ac:dyDescent="0.35">
      <c r="A144" t="s">
        <v>845</v>
      </c>
      <c r="B144" t="s">
        <v>846</v>
      </c>
      <c r="C144">
        <v>2020</v>
      </c>
      <c r="D144">
        <v>16</v>
      </c>
      <c r="E144" t="s">
        <v>693</v>
      </c>
      <c r="F144" t="s">
        <v>847</v>
      </c>
      <c r="G144" t="s">
        <v>520</v>
      </c>
      <c r="H144" t="s">
        <v>848</v>
      </c>
      <c r="I144" t="s">
        <v>849</v>
      </c>
    </row>
    <row r="145" spans="1:9" x14ac:dyDescent="0.35">
      <c r="A145" t="s">
        <v>850</v>
      </c>
      <c r="B145" t="s">
        <v>851</v>
      </c>
      <c r="C145">
        <v>2021</v>
      </c>
      <c r="D145">
        <v>16</v>
      </c>
      <c r="E145" t="s">
        <v>693</v>
      </c>
      <c r="F145" t="s">
        <v>852</v>
      </c>
      <c r="G145" t="s">
        <v>853</v>
      </c>
      <c r="H145" t="s">
        <v>854</v>
      </c>
      <c r="I145" t="s">
        <v>855</v>
      </c>
    </row>
    <row r="146" spans="1:9" x14ac:dyDescent="0.35">
      <c r="A146" t="s">
        <v>856</v>
      </c>
      <c r="B146" t="s">
        <v>857</v>
      </c>
      <c r="C146">
        <v>2017</v>
      </c>
      <c r="D146">
        <v>12</v>
      </c>
      <c r="E146" t="s">
        <v>693</v>
      </c>
      <c r="F146" t="s">
        <v>858</v>
      </c>
    </row>
    <row r="147" spans="1:9" x14ac:dyDescent="0.35">
      <c r="A147" t="s">
        <v>859</v>
      </c>
      <c r="B147" t="s">
        <v>860</v>
      </c>
      <c r="C147">
        <v>2017</v>
      </c>
      <c r="D147">
        <v>16</v>
      </c>
      <c r="E147" t="s">
        <v>693</v>
      </c>
      <c r="F147" t="s">
        <v>861</v>
      </c>
      <c r="G147" t="s">
        <v>862</v>
      </c>
      <c r="H147" t="s">
        <v>863</v>
      </c>
      <c r="I147" t="s">
        <v>864</v>
      </c>
    </row>
    <row r="148" spans="1:9" x14ac:dyDescent="0.35">
      <c r="A148" t="s">
        <v>865</v>
      </c>
      <c r="B148" t="s">
        <v>866</v>
      </c>
      <c r="C148">
        <v>2011</v>
      </c>
      <c r="D148">
        <v>24</v>
      </c>
      <c r="E148" t="s">
        <v>693</v>
      </c>
      <c r="F148" t="s">
        <v>867</v>
      </c>
      <c r="G148" t="s">
        <v>868</v>
      </c>
      <c r="H148" t="s">
        <v>869</v>
      </c>
      <c r="I148" t="s">
        <v>870</v>
      </c>
    </row>
    <row r="149" spans="1:9" x14ac:dyDescent="0.35">
      <c r="A149" t="s">
        <v>871</v>
      </c>
      <c r="B149" t="s">
        <v>872</v>
      </c>
      <c r="C149">
        <v>2022</v>
      </c>
      <c r="D149">
        <v>16</v>
      </c>
      <c r="E149" t="s">
        <v>693</v>
      </c>
      <c r="F149" t="s">
        <v>873</v>
      </c>
      <c r="G149" t="s">
        <v>567</v>
      </c>
      <c r="H149" t="s">
        <v>874</v>
      </c>
      <c r="I149" t="s">
        <v>875</v>
      </c>
    </row>
    <row r="150" spans="1:9" x14ac:dyDescent="0.35">
      <c r="A150" t="s">
        <v>876</v>
      </c>
      <c r="B150" t="s">
        <v>877</v>
      </c>
      <c r="C150">
        <v>2013</v>
      </c>
      <c r="D150">
        <v>16</v>
      </c>
      <c r="E150" t="s">
        <v>693</v>
      </c>
      <c r="F150" t="s">
        <v>878</v>
      </c>
      <c r="G150" t="s">
        <v>284</v>
      </c>
      <c r="H150" t="s">
        <v>879</v>
      </c>
      <c r="I150" t="s">
        <v>880</v>
      </c>
    </row>
    <row r="151" spans="1:9" x14ac:dyDescent="0.35">
      <c r="A151" t="s">
        <v>881</v>
      </c>
      <c r="B151" t="s">
        <v>882</v>
      </c>
      <c r="C151">
        <v>2021</v>
      </c>
      <c r="D151">
        <v>12</v>
      </c>
      <c r="E151" t="s">
        <v>693</v>
      </c>
      <c r="F151" t="s">
        <v>883</v>
      </c>
      <c r="G151" t="s">
        <v>884</v>
      </c>
      <c r="H151" t="s">
        <v>885</v>
      </c>
      <c r="I151" t="s">
        <v>886</v>
      </c>
    </row>
    <row r="152" spans="1:9" x14ac:dyDescent="0.35">
      <c r="A152" t="s">
        <v>887</v>
      </c>
      <c r="B152" t="s">
        <v>888</v>
      </c>
      <c r="C152">
        <v>2010</v>
      </c>
      <c r="D152">
        <v>60</v>
      </c>
      <c r="E152" t="s">
        <v>693</v>
      </c>
      <c r="F152" t="s">
        <v>889</v>
      </c>
      <c r="G152" t="s">
        <v>890</v>
      </c>
      <c r="H152" t="s">
        <v>891</v>
      </c>
      <c r="I152" t="s">
        <v>892</v>
      </c>
    </row>
    <row r="153" spans="1:9" x14ac:dyDescent="0.35">
      <c r="A153" t="s">
        <v>893</v>
      </c>
      <c r="B153" t="s">
        <v>894</v>
      </c>
      <c r="C153">
        <v>2022</v>
      </c>
      <c r="D153">
        <v>12</v>
      </c>
      <c r="E153" t="s">
        <v>693</v>
      </c>
      <c r="F153" t="s">
        <v>895</v>
      </c>
      <c r="G153" t="s">
        <v>896</v>
      </c>
      <c r="H153" t="s">
        <v>897</v>
      </c>
      <c r="I153" t="s">
        <v>898</v>
      </c>
    </row>
    <row r="154" spans="1:9" x14ac:dyDescent="0.35">
      <c r="A154" t="s">
        <v>899</v>
      </c>
      <c r="B154" t="s">
        <v>900</v>
      </c>
      <c r="C154">
        <v>2019</v>
      </c>
      <c r="D154">
        <v>32</v>
      </c>
      <c r="E154" t="s">
        <v>693</v>
      </c>
      <c r="F154" t="s">
        <v>901</v>
      </c>
      <c r="G154" t="s">
        <v>725</v>
      </c>
      <c r="H154" t="s">
        <v>902</v>
      </c>
      <c r="I154" t="s">
        <v>903</v>
      </c>
    </row>
    <row r="155" spans="1:9" x14ac:dyDescent="0.35">
      <c r="A155" t="s">
        <v>904</v>
      </c>
      <c r="B155" t="s">
        <v>905</v>
      </c>
      <c r="C155">
        <v>2020</v>
      </c>
      <c r="D155">
        <v>16</v>
      </c>
      <c r="E155" t="s">
        <v>693</v>
      </c>
      <c r="F155" t="s">
        <v>906</v>
      </c>
      <c r="G155" t="s">
        <v>907</v>
      </c>
      <c r="H155" t="s">
        <v>908</v>
      </c>
      <c r="I155" t="s">
        <v>909</v>
      </c>
    </row>
    <row r="156" spans="1:9" x14ac:dyDescent="0.35">
      <c r="A156" t="s">
        <v>910</v>
      </c>
      <c r="B156" t="s">
        <v>911</v>
      </c>
      <c r="C156">
        <v>2024</v>
      </c>
      <c r="D156">
        <v>10</v>
      </c>
      <c r="E156" t="s">
        <v>693</v>
      </c>
      <c r="F156" t="s">
        <v>912</v>
      </c>
      <c r="G156" t="s">
        <v>913</v>
      </c>
      <c r="H156" t="s">
        <v>914</v>
      </c>
      <c r="I156" t="s">
        <v>915</v>
      </c>
    </row>
    <row r="157" spans="1:9" x14ac:dyDescent="0.35">
      <c r="A157" t="s">
        <v>916</v>
      </c>
      <c r="B157" t="s">
        <v>917</v>
      </c>
      <c r="C157">
        <v>2022</v>
      </c>
      <c r="D157">
        <v>12</v>
      </c>
      <c r="E157" t="s">
        <v>693</v>
      </c>
      <c r="F157" t="s">
        <v>918</v>
      </c>
      <c r="G157" t="s">
        <v>919</v>
      </c>
      <c r="H157" t="s">
        <v>920</v>
      </c>
      <c r="I157" t="s">
        <v>921</v>
      </c>
    </row>
    <row r="158" spans="1:9" x14ac:dyDescent="0.35">
      <c r="A158" t="s">
        <v>922</v>
      </c>
      <c r="B158" t="s">
        <v>923</v>
      </c>
      <c r="C158">
        <v>2020</v>
      </c>
      <c r="D158">
        <v>10</v>
      </c>
      <c r="E158" t="s">
        <v>693</v>
      </c>
      <c r="F158" t="s">
        <v>924</v>
      </c>
      <c r="G158" t="s">
        <v>925</v>
      </c>
      <c r="H158" t="s">
        <v>926</v>
      </c>
      <c r="I158" t="s">
        <v>927</v>
      </c>
    </row>
    <row r="159" spans="1:9" x14ac:dyDescent="0.35">
      <c r="A159" t="s">
        <v>928</v>
      </c>
      <c r="B159" t="s">
        <v>929</v>
      </c>
      <c r="C159">
        <v>2021</v>
      </c>
      <c r="D159">
        <v>14</v>
      </c>
      <c r="E159" t="s">
        <v>693</v>
      </c>
      <c r="F159" t="s">
        <v>930</v>
      </c>
      <c r="G159" t="s">
        <v>114</v>
      </c>
      <c r="H159" t="s">
        <v>931</v>
      </c>
      <c r="I159" t="s">
        <v>932</v>
      </c>
    </row>
    <row r="160" spans="1:9" x14ac:dyDescent="0.35">
      <c r="A160" t="s">
        <v>933</v>
      </c>
      <c r="B160" t="s">
        <v>934</v>
      </c>
      <c r="C160">
        <v>2021</v>
      </c>
      <c r="D160">
        <v>16</v>
      </c>
      <c r="E160" t="s">
        <v>935</v>
      </c>
      <c r="F160" t="s">
        <v>936</v>
      </c>
      <c r="G160" t="s">
        <v>937</v>
      </c>
      <c r="H160" t="s">
        <v>938</v>
      </c>
      <c r="I160" t="s">
        <v>939</v>
      </c>
    </row>
    <row r="161" spans="1:9" x14ac:dyDescent="0.35">
      <c r="A161" t="s">
        <v>940</v>
      </c>
      <c r="B161" t="s">
        <v>941</v>
      </c>
      <c r="C161">
        <v>2024</v>
      </c>
      <c r="D161">
        <v>12</v>
      </c>
      <c r="E161" t="s">
        <v>935</v>
      </c>
      <c r="F161" t="s">
        <v>942</v>
      </c>
      <c r="G161" t="s">
        <v>725</v>
      </c>
      <c r="H161" t="s">
        <v>943</v>
      </c>
      <c r="I161" t="s">
        <v>944</v>
      </c>
    </row>
    <row r="162" spans="1:9" x14ac:dyDescent="0.35">
      <c r="A162" t="s">
        <v>945</v>
      </c>
      <c r="B162" t="s">
        <v>946</v>
      </c>
      <c r="C162">
        <v>2012</v>
      </c>
      <c r="D162">
        <v>16</v>
      </c>
      <c r="E162" t="s">
        <v>935</v>
      </c>
      <c r="F162" t="s">
        <v>947</v>
      </c>
      <c r="G162" t="s">
        <v>948</v>
      </c>
      <c r="H162" t="s">
        <v>949</v>
      </c>
      <c r="I162" t="s">
        <v>950</v>
      </c>
    </row>
    <row r="163" spans="1:9" x14ac:dyDescent="0.35">
      <c r="A163" t="s">
        <v>951</v>
      </c>
      <c r="B163" t="s">
        <v>952</v>
      </c>
      <c r="C163">
        <v>2022</v>
      </c>
      <c r="D163">
        <v>12</v>
      </c>
      <c r="E163" t="s">
        <v>935</v>
      </c>
      <c r="F163" t="s">
        <v>953</v>
      </c>
      <c r="G163" t="s">
        <v>954</v>
      </c>
      <c r="H163" t="s">
        <v>955</v>
      </c>
      <c r="I163" t="s">
        <v>956</v>
      </c>
    </row>
    <row r="164" spans="1:9" x14ac:dyDescent="0.35">
      <c r="A164" t="s">
        <v>957</v>
      </c>
      <c r="B164" t="s">
        <v>958</v>
      </c>
      <c r="C164">
        <v>2022</v>
      </c>
      <c r="D164">
        <v>16</v>
      </c>
      <c r="E164" t="s">
        <v>935</v>
      </c>
      <c r="F164" t="s">
        <v>959</v>
      </c>
      <c r="G164" t="s">
        <v>960</v>
      </c>
      <c r="H164" t="s">
        <v>961</v>
      </c>
      <c r="I164" t="s">
        <v>962</v>
      </c>
    </row>
    <row r="165" spans="1:9" x14ac:dyDescent="0.35">
      <c r="A165" t="s">
        <v>963</v>
      </c>
      <c r="B165" t="s">
        <v>964</v>
      </c>
      <c r="C165">
        <v>2017</v>
      </c>
      <c r="D165">
        <v>32</v>
      </c>
      <c r="E165" t="s">
        <v>935</v>
      </c>
      <c r="F165" t="s">
        <v>965</v>
      </c>
      <c r="G165" t="s">
        <v>966</v>
      </c>
      <c r="H165" t="s">
        <v>967</v>
      </c>
      <c r="I165" t="s">
        <v>968</v>
      </c>
    </row>
    <row r="166" spans="1:9" x14ac:dyDescent="0.35">
      <c r="A166" t="s">
        <v>969</v>
      </c>
      <c r="B166" t="s">
        <v>970</v>
      </c>
      <c r="C166">
        <v>2020</v>
      </c>
      <c r="D166">
        <v>16</v>
      </c>
      <c r="E166" t="s">
        <v>935</v>
      </c>
      <c r="F166" t="s">
        <v>971</v>
      </c>
      <c r="G166" t="s">
        <v>26</v>
      </c>
      <c r="H166" t="s">
        <v>972</v>
      </c>
      <c r="I166" t="s">
        <v>973</v>
      </c>
    </row>
    <row r="167" spans="1:9" x14ac:dyDescent="0.35">
      <c r="A167" t="s">
        <v>974</v>
      </c>
      <c r="B167" t="s">
        <v>975</v>
      </c>
      <c r="C167">
        <v>2018</v>
      </c>
      <c r="D167">
        <v>12</v>
      </c>
      <c r="E167" t="s">
        <v>935</v>
      </c>
      <c r="F167" t="s">
        <v>976</v>
      </c>
    </row>
    <row r="168" spans="1:9" x14ac:dyDescent="0.35">
      <c r="A168" t="s">
        <v>977</v>
      </c>
      <c r="B168" t="s">
        <v>978</v>
      </c>
      <c r="C168">
        <v>2021</v>
      </c>
      <c r="D168">
        <v>16</v>
      </c>
      <c r="E168" t="s">
        <v>935</v>
      </c>
      <c r="F168" t="s">
        <v>979</v>
      </c>
      <c r="G168" t="s">
        <v>725</v>
      </c>
      <c r="H168" t="s">
        <v>980</v>
      </c>
      <c r="I168" t="s">
        <v>981</v>
      </c>
    </row>
    <row r="169" spans="1:9" x14ac:dyDescent="0.35">
      <c r="A169" t="s">
        <v>982</v>
      </c>
      <c r="B169" t="s">
        <v>983</v>
      </c>
      <c r="C169">
        <v>2017</v>
      </c>
      <c r="D169">
        <v>16</v>
      </c>
      <c r="E169" t="s">
        <v>935</v>
      </c>
      <c r="F169" t="s">
        <v>984</v>
      </c>
      <c r="G169" t="s">
        <v>985</v>
      </c>
      <c r="H169" t="s">
        <v>986</v>
      </c>
      <c r="I169" t="s">
        <v>987</v>
      </c>
    </row>
    <row r="170" spans="1:9" x14ac:dyDescent="0.35">
      <c r="A170" t="s">
        <v>988</v>
      </c>
      <c r="B170" t="s">
        <v>989</v>
      </c>
      <c r="C170">
        <v>2019</v>
      </c>
      <c r="D170">
        <v>16</v>
      </c>
      <c r="E170" t="s">
        <v>935</v>
      </c>
      <c r="F170" t="s">
        <v>990</v>
      </c>
      <c r="G170" t="s">
        <v>991</v>
      </c>
      <c r="H170" t="s">
        <v>992</v>
      </c>
      <c r="I170" t="s">
        <v>993</v>
      </c>
    </row>
    <row r="171" spans="1:9" x14ac:dyDescent="0.35">
      <c r="A171" t="s">
        <v>994</v>
      </c>
      <c r="B171" t="s">
        <v>995</v>
      </c>
      <c r="C171">
        <v>2022</v>
      </c>
      <c r="D171">
        <v>16</v>
      </c>
      <c r="E171" t="s">
        <v>935</v>
      </c>
      <c r="F171" t="s">
        <v>996</v>
      </c>
      <c r="G171" t="s">
        <v>997</v>
      </c>
      <c r="H171" t="s">
        <v>998</v>
      </c>
      <c r="I171" t="s">
        <v>999</v>
      </c>
    </row>
    <row r="172" spans="1:9" x14ac:dyDescent="0.35">
      <c r="A172" t="s">
        <v>1000</v>
      </c>
      <c r="B172" t="s">
        <v>1001</v>
      </c>
      <c r="C172">
        <v>2015</v>
      </c>
      <c r="D172">
        <v>16</v>
      </c>
      <c r="E172" t="s">
        <v>935</v>
      </c>
      <c r="F172" t="s">
        <v>1002</v>
      </c>
      <c r="G172" t="s">
        <v>1003</v>
      </c>
      <c r="H172" t="s">
        <v>1004</v>
      </c>
      <c r="I172" t="s">
        <v>1005</v>
      </c>
    </row>
    <row r="173" spans="1:9" x14ac:dyDescent="0.35">
      <c r="A173" t="s">
        <v>1006</v>
      </c>
      <c r="B173" t="s">
        <v>1007</v>
      </c>
      <c r="C173">
        <v>2024</v>
      </c>
      <c r="D173">
        <v>6</v>
      </c>
      <c r="E173" t="s">
        <v>693</v>
      </c>
      <c r="F173" t="s">
        <v>1008</v>
      </c>
      <c r="G173" t="s">
        <v>1009</v>
      </c>
      <c r="H173" t="s">
        <v>1010</v>
      </c>
      <c r="I173" t="s">
        <v>1011</v>
      </c>
    </row>
    <row r="174" spans="1:9" x14ac:dyDescent="0.35">
      <c r="A174" t="s">
        <v>1012</v>
      </c>
      <c r="B174" t="s">
        <v>1013</v>
      </c>
      <c r="C174">
        <v>2012</v>
      </c>
      <c r="D174">
        <v>20</v>
      </c>
      <c r="E174" t="s">
        <v>935</v>
      </c>
      <c r="F174" t="s">
        <v>1014</v>
      </c>
      <c r="G174" t="s">
        <v>1015</v>
      </c>
      <c r="H174" t="s">
        <v>1016</v>
      </c>
      <c r="I174" t="s">
        <v>1017</v>
      </c>
    </row>
    <row r="175" spans="1:9" x14ac:dyDescent="0.35">
      <c r="A175" t="s">
        <v>1018</v>
      </c>
      <c r="B175" t="s">
        <v>1019</v>
      </c>
      <c r="C175">
        <v>2020</v>
      </c>
      <c r="D175">
        <v>12</v>
      </c>
      <c r="E175" t="s">
        <v>935</v>
      </c>
      <c r="F175" t="s">
        <v>1020</v>
      </c>
      <c r="G175" t="s">
        <v>985</v>
      </c>
      <c r="H175" t="s">
        <v>1021</v>
      </c>
      <c r="I175" t="s">
        <v>1022</v>
      </c>
    </row>
    <row r="176" spans="1:9" x14ac:dyDescent="0.35">
      <c r="A176" t="s">
        <v>1023</v>
      </c>
      <c r="B176" t="s">
        <v>1024</v>
      </c>
      <c r="C176">
        <v>2022</v>
      </c>
      <c r="D176">
        <v>16</v>
      </c>
      <c r="E176" t="s">
        <v>935</v>
      </c>
      <c r="F176" t="s">
        <v>1025</v>
      </c>
      <c r="G176" t="s">
        <v>409</v>
      </c>
      <c r="H176" t="s">
        <v>1026</v>
      </c>
      <c r="I176" t="s">
        <v>1027</v>
      </c>
    </row>
    <row r="177" spans="1:9" x14ac:dyDescent="0.35">
      <c r="A177" t="s">
        <v>1028</v>
      </c>
      <c r="B177" t="s">
        <v>1029</v>
      </c>
      <c r="C177">
        <v>2019</v>
      </c>
      <c r="D177">
        <v>16</v>
      </c>
      <c r="E177" t="s">
        <v>935</v>
      </c>
      <c r="F177" t="s">
        <v>1030</v>
      </c>
      <c r="G177" t="s">
        <v>1031</v>
      </c>
      <c r="H177" t="s">
        <v>1032</v>
      </c>
      <c r="I177" t="s">
        <v>1033</v>
      </c>
    </row>
    <row r="178" spans="1:9" x14ac:dyDescent="0.35">
      <c r="A178" t="s">
        <v>1034</v>
      </c>
      <c r="B178" t="s">
        <v>1035</v>
      </c>
      <c r="C178">
        <v>2017</v>
      </c>
      <c r="D178">
        <v>16</v>
      </c>
      <c r="E178" t="s">
        <v>935</v>
      </c>
      <c r="F178" t="s">
        <v>1036</v>
      </c>
      <c r="G178" t="s">
        <v>1037</v>
      </c>
      <c r="H178" t="s">
        <v>1038</v>
      </c>
      <c r="I178" t="s">
        <v>1039</v>
      </c>
    </row>
    <row r="179" spans="1:9" x14ac:dyDescent="0.35">
      <c r="A179" t="s">
        <v>1040</v>
      </c>
      <c r="B179" t="s">
        <v>1041</v>
      </c>
      <c r="C179">
        <v>2020</v>
      </c>
      <c r="D179">
        <v>8</v>
      </c>
      <c r="E179" t="s">
        <v>935</v>
      </c>
      <c r="F179" t="s">
        <v>1042</v>
      </c>
      <c r="G179" t="s">
        <v>1043</v>
      </c>
      <c r="H179" t="s">
        <v>1044</v>
      </c>
      <c r="I179" t="s">
        <v>1045</v>
      </c>
    </row>
    <row r="180" spans="1:9" x14ac:dyDescent="0.35">
      <c r="A180" t="s">
        <v>1046</v>
      </c>
      <c r="B180" t="s">
        <v>1047</v>
      </c>
      <c r="C180">
        <v>2013</v>
      </c>
      <c r="D180">
        <v>20</v>
      </c>
      <c r="E180" t="s">
        <v>935</v>
      </c>
      <c r="F180" t="s">
        <v>1048</v>
      </c>
      <c r="G180" t="s">
        <v>1049</v>
      </c>
      <c r="H180" t="s">
        <v>1050</v>
      </c>
      <c r="I180" t="s">
        <v>1051</v>
      </c>
    </row>
    <row r="181" spans="1:9" x14ac:dyDescent="0.35">
      <c r="A181" t="s">
        <v>1052</v>
      </c>
      <c r="B181" t="s">
        <v>1053</v>
      </c>
      <c r="C181">
        <v>2019</v>
      </c>
      <c r="D181">
        <v>32</v>
      </c>
      <c r="E181" t="s">
        <v>935</v>
      </c>
      <c r="F181" t="s">
        <v>1054</v>
      </c>
      <c r="G181" t="s">
        <v>1055</v>
      </c>
      <c r="H181" t="s">
        <v>1056</v>
      </c>
      <c r="I181" t="s">
        <v>1057</v>
      </c>
    </row>
    <row r="182" spans="1:9" x14ac:dyDescent="0.35">
      <c r="A182" t="s">
        <v>1058</v>
      </c>
      <c r="B182" t="s">
        <v>1059</v>
      </c>
      <c r="C182">
        <v>2014</v>
      </c>
      <c r="D182">
        <v>20</v>
      </c>
      <c r="E182" t="s">
        <v>935</v>
      </c>
      <c r="F182" t="s">
        <v>1060</v>
      </c>
    </row>
    <row r="183" spans="1:9" x14ac:dyDescent="0.35">
      <c r="A183" t="s">
        <v>1061</v>
      </c>
      <c r="B183" t="s">
        <v>1062</v>
      </c>
      <c r="C183">
        <v>2019</v>
      </c>
      <c r="D183">
        <v>32</v>
      </c>
      <c r="E183" t="s">
        <v>935</v>
      </c>
      <c r="F183" t="s">
        <v>1063</v>
      </c>
      <c r="G183" t="s">
        <v>1064</v>
      </c>
      <c r="H183" t="s">
        <v>1065</v>
      </c>
      <c r="I183" t="s">
        <v>1066</v>
      </c>
    </row>
    <row r="184" spans="1:9" x14ac:dyDescent="0.35">
      <c r="A184" t="s">
        <v>1067</v>
      </c>
      <c r="B184" t="s">
        <v>1068</v>
      </c>
      <c r="C184">
        <v>2022</v>
      </c>
      <c r="D184">
        <v>16</v>
      </c>
      <c r="E184" t="s">
        <v>935</v>
      </c>
      <c r="F184" t="s">
        <v>1069</v>
      </c>
      <c r="G184" t="s">
        <v>1070</v>
      </c>
      <c r="H184" t="s">
        <v>1071</v>
      </c>
      <c r="I184" t="s">
        <v>1072</v>
      </c>
    </row>
    <row r="185" spans="1:9" x14ac:dyDescent="0.35">
      <c r="A185" t="s">
        <v>1073</v>
      </c>
      <c r="B185" t="s">
        <v>1074</v>
      </c>
      <c r="C185">
        <v>2020</v>
      </c>
      <c r="D185">
        <v>16</v>
      </c>
      <c r="E185" t="s">
        <v>935</v>
      </c>
      <c r="F185" t="s">
        <v>1075</v>
      </c>
      <c r="G185" t="s">
        <v>1076</v>
      </c>
      <c r="H185" t="s">
        <v>1077</v>
      </c>
      <c r="I185" t="s">
        <v>1078</v>
      </c>
    </row>
    <row r="186" spans="1:9" x14ac:dyDescent="0.35">
      <c r="A186" t="s">
        <v>1079</v>
      </c>
      <c r="B186" t="s">
        <v>1080</v>
      </c>
      <c r="C186">
        <v>2019</v>
      </c>
      <c r="D186">
        <v>16</v>
      </c>
      <c r="E186" t="s">
        <v>935</v>
      </c>
      <c r="F186" t="s">
        <v>1081</v>
      </c>
      <c r="G186" t="s">
        <v>991</v>
      </c>
      <c r="H186" t="s">
        <v>1082</v>
      </c>
      <c r="I186" t="s">
        <v>1083</v>
      </c>
    </row>
    <row r="187" spans="1:9" x14ac:dyDescent="0.35">
      <c r="A187" t="s">
        <v>1084</v>
      </c>
      <c r="B187" t="s">
        <v>1085</v>
      </c>
      <c r="C187">
        <v>2017</v>
      </c>
      <c r="D187">
        <v>14</v>
      </c>
      <c r="E187" t="s">
        <v>935</v>
      </c>
      <c r="F187" t="s">
        <v>1086</v>
      </c>
      <c r="G187" t="s">
        <v>1087</v>
      </c>
      <c r="H187" t="s">
        <v>1088</v>
      </c>
      <c r="I187" t="s">
        <v>1089</v>
      </c>
    </row>
    <row r="188" spans="1:9" x14ac:dyDescent="0.35">
      <c r="A188" t="s">
        <v>1090</v>
      </c>
      <c r="B188" t="s">
        <v>1091</v>
      </c>
      <c r="C188">
        <v>2013</v>
      </c>
      <c r="D188">
        <v>16</v>
      </c>
      <c r="E188" t="s">
        <v>935</v>
      </c>
      <c r="F188" t="s">
        <v>1092</v>
      </c>
      <c r="G188" t="s">
        <v>1093</v>
      </c>
      <c r="H188" t="s">
        <v>1094</v>
      </c>
      <c r="I188" t="s">
        <v>1095</v>
      </c>
    </row>
    <row r="189" spans="1:9" x14ac:dyDescent="0.35">
      <c r="A189" t="s">
        <v>1096</v>
      </c>
      <c r="B189" t="s">
        <v>1097</v>
      </c>
      <c r="C189">
        <v>2022</v>
      </c>
      <c r="D189">
        <v>16</v>
      </c>
      <c r="E189" t="s">
        <v>935</v>
      </c>
      <c r="F189" t="s">
        <v>1098</v>
      </c>
      <c r="G189" t="s">
        <v>1099</v>
      </c>
      <c r="H189" t="s">
        <v>1100</v>
      </c>
      <c r="I189" t="s">
        <v>1101</v>
      </c>
    </row>
    <row r="190" spans="1:9" x14ac:dyDescent="0.35">
      <c r="A190" t="s">
        <v>1102</v>
      </c>
      <c r="B190" t="s">
        <v>1103</v>
      </c>
      <c r="C190">
        <v>2022</v>
      </c>
      <c r="D190">
        <v>8</v>
      </c>
      <c r="E190" t="s">
        <v>935</v>
      </c>
      <c r="F190" t="s">
        <v>1104</v>
      </c>
      <c r="G190" t="s">
        <v>1105</v>
      </c>
      <c r="H190" t="s">
        <v>1106</v>
      </c>
      <c r="I190" t="s">
        <v>1107</v>
      </c>
    </row>
    <row r="191" spans="1:9" x14ac:dyDescent="0.35">
      <c r="A191" t="s">
        <v>1108</v>
      </c>
      <c r="B191" t="s">
        <v>1109</v>
      </c>
      <c r="C191">
        <v>2021</v>
      </c>
      <c r="D191">
        <v>16</v>
      </c>
      <c r="E191" t="s">
        <v>935</v>
      </c>
      <c r="F191" t="s">
        <v>1110</v>
      </c>
      <c r="G191" t="s">
        <v>1111</v>
      </c>
      <c r="H191" t="s">
        <v>1112</v>
      </c>
      <c r="I191" t="s">
        <v>1113</v>
      </c>
    </row>
    <row r="192" spans="1:9" x14ac:dyDescent="0.35">
      <c r="A192" t="s">
        <v>1114</v>
      </c>
      <c r="B192" t="s">
        <v>1115</v>
      </c>
      <c r="C192">
        <v>2022</v>
      </c>
      <c r="D192">
        <v>14</v>
      </c>
      <c r="E192" t="s">
        <v>935</v>
      </c>
      <c r="F192" t="s">
        <v>1116</v>
      </c>
      <c r="G192" t="s">
        <v>1117</v>
      </c>
      <c r="H192" t="s">
        <v>1118</v>
      </c>
      <c r="I192" t="s">
        <v>1119</v>
      </c>
    </row>
    <row r="193" spans="1:9" x14ac:dyDescent="0.35">
      <c r="A193" t="s">
        <v>1120</v>
      </c>
      <c r="B193" t="s">
        <v>1121</v>
      </c>
      <c r="C193">
        <v>2019</v>
      </c>
      <c r="D193">
        <v>16</v>
      </c>
      <c r="E193" t="s">
        <v>935</v>
      </c>
      <c r="F193" t="s">
        <v>1122</v>
      </c>
      <c r="G193" t="s">
        <v>1123</v>
      </c>
      <c r="H193" t="s">
        <v>1124</v>
      </c>
      <c r="I193" t="s">
        <v>1125</v>
      </c>
    </row>
    <row r="194" spans="1:9" x14ac:dyDescent="0.35">
      <c r="A194" t="s">
        <v>1126</v>
      </c>
      <c r="B194" t="s">
        <v>1127</v>
      </c>
      <c r="C194">
        <v>2021</v>
      </c>
      <c r="D194">
        <v>16</v>
      </c>
      <c r="E194" t="s">
        <v>935</v>
      </c>
      <c r="F194" t="s">
        <v>1128</v>
      </c>
      <c r="G194" t="s">
        <v>1129</v>
      </c>
      <c r="H194" t="s">
        <v>1130</v>
      </c>
      <c r="I194" t="s">
        <v>1131</v>
      </c>
    </row>
    <row r="195" spans="1:9" x14ac:dyDescent="0.35">
      <c r="A195" t="s">
        <v>1132</v>
      </c>
      <c r="B195" t="s">
        <v>1133</v>
      </c>
      <c r="C195">
        <v>2018</v>
      </c>
      <c r="D195">
        <v>14</v>
      </c>
      <c r="E195" t="s">
        <v>935</v>
      </c>
      <c r="F195" t="s">
        <v>1134</v>
      </c>
      <c r="G195" t="s">
        <v>352</v>
      </c>
      <c r="H195" t="s">
        <v>1135</v>
      </c>
      <c r="I195" t="s">
        <v>1136</v>
      </c>
    </row>
    <row r="196" spans="1:9" x14ac:dyDescent="0.35">
      <c r="A196" t="s">
        <v>1137</v>
      </c>
      <c r="B196" t="s">
        <v>1138</v>
      </c>
      <c r="C196">
        <v>2016</v>
      </c>
      <c r="D196">
        <v>20</v>
      </c>
      <c r="E196" t="s">
        <v>935</v>
      </c>
      <c r="F196" t="s">
        <v>1139</v>
      </c>
      <c r="G196" t="s">
        <v>725</v>
      </c>
      <c r="H196" t="s">
        <v>1140</v>
      </c>
      <c r="I196" t="s">
        <v>1141</v>
      </c>
    </row>
    <row r="197" spans="1:9" x14ac:dyDescent="0.35">
      <c r="A197" t="s">
        <v>1142</v>
      </c>
      <c r="B197" t="s">
        <v>1143</v>
      </c>
      <c r="C197">
        <v>2018</v>
      </c>
      <c r="D197">
        <v>32</v>
      </c>
      <c r="E197" t="s">
        <v>935</v>
      </c>
      <c r="F197" t="s">
        <v>1144</v>
      </c>
      <c r="G197" t="s">
        <v>1145</v>
      </c>
      <c r="H197" t="s">
        <v>1146</v>
      </c>
      <c r="I197" t="s">
        <v>1147</v>
      </c>
    </row>
    <row r="198" spans="1:9" x14ac:dyDescent="0.35">
      <c r="A198" t="s">
        <v>1148</v>
      </c>
      <c r="B198" t="s">
        <v>1149</v>
      </c>
      <c r="C198">
        <v>2018</v>
      </c>
      <c r="D198">
        <v>32</v>
      </c>
      <c r="E198" t="s">
        <v>935</v>
      </c>
      <c r="F198" t="s">
        <v>1150</v>
      </c>
      <c r="G198" t="s">
        <v>1151</v>
      </c>
      <c r="H198" t="s">
        <v>1152</v>
      </c>
      <c r="I198" t="s">
        <v>1153</v>
      </c>
    </row>
    <row r="199" spans="1:9" x14ac:dyDescent="0.35">
      <c r="A199" t="s">
        <v>1154</v>
      </c>
      <c r="B199" t="s">
        <v>1155</v>
      </c>
      <c r="C199">
        <v>2022</v>
      </c>
      <c r="D199">
        <v>16</v>
      </c>
      <c r="E199" t="s">
        <v>935</v>
      </c>
      <c r="F199" t="s">
        <v>1156</v>
      </c>
      <c r="G199" t="s">
        <v>1157</v>
      </c>
      <c r="H199" t="s">
        <v>1158</v>
      </c>
      <c r="I199" t="s">
        <v>1159</v>
      </c>
    </row>
    <row r="200" spans="1:9" x14ac:dyDescent="0.35">
      <c r="A200" t="s">
        <v>1160</v>
      </c>
      <c r="B200" t="s">
        <v>1161</v>
      </c>
      <c r="C200">
        <v>2019</v>
      </c>
      <c r="D200">
        <v>32</v>
      </c>
      <c r="E200" t="s">
        <v>935</v>
      </c>
      <c r="F200" t="s">
        <v>1162</v>
      </c>
      <c r="G200" t="s">
        <v>1163</v>
      </c>
      <c r="H200" t="s">
        <v>1164</v>
      </c>
      <c r="I200" t="s">
        <v>1165</v>
      </c>
    </row>
    <row r="201" spans="1:9" x14ac:dyDescent="0.35">
      <c r="A201" t="s">
        <v>1166</v>
      </c>
      <c r="B201" t="s">
        <v>1167</v>
      </c>
      <c r="C201">
        <v>2019</v>
      </c>
      <c r="D201">
        <v>16</v>
      </c>
      <c r="E201" t="s">
        <v>935</v>
      </c>
      <c r="F201" t="s">
        <v>1168</v>
      </c>
      <c r="G201" t="s">
        <v>1169</v>
      </c>
      <c r="H201" t="s">
        <v>1170</v>
      </c>
      <c r="I201" t="s">
        <v>1171</v>
      </c>
    </row>
    <row r="202" spans="1:9" x14ac:dyDescent="0.35">
      <c r="A202" t="s">
        <v>1172</v>
      </c>
      <c r="B202" t="s">
        <v>1173</v>
      </c>
      <c r="C202">
        <v>2024</v>
      </c>
      <c r="D202">
        <v>12</v>
      </c>
      <c r="E202" t="s">
        <v>935</v>
      </c>
      <c r="F202" t="s">
        <v>1174</v>
      </c>
      <c r="G202" t="s">
        <v>1175</v>
      </c>
      <c r="H202" t="s">
        <v>1176</v>
      </c>
      <c r="I202" t="s">
        <v>1177</v>
      </c>
    </row>
    <row r="203" spans="1:9" x14ac:dyDescent="0.35">
      <c r="A203" t="s">
        <v>1178</v>
      </c>
      <c r="B203" t="s">
        <v>1179</v>
      </c>
      <c r="C203">
        <v>2018</v>
      </c>
      <c r="D203">
        <v>16</v>
      </c>
      <c r="E203" t="s">
        <v>935</v>
      </c>
      <c r="F203" t="s">
        <v>1180</v>
      </c>
    </row>
    <row r="204" spans="1:9" x14ac:dyDescent="0.35">
      <c r="A204" t="s">
        <v>1181</v>
      </c>
      <c r="B204" t="s">
        <v>1182</v>
      </c>
      <c r="C204">
        <v>2020</v>
      </c>
      <c r="D204">
        <v>16</v>
      </c>
      <c r="E204" t="s">
        <v>935</v>
      </c>
      <c r="F204" t="s">
        <v>1183</v>
      </c>
      <c r="G204" t="s">
        <v>1184</v>
      </c>
      <c r="H204" t="s">
        <v>1185</v>
      </c>
      <c r="I204" t="s">
        <v>1186</v>
      </c>
    </row>
    <row r="205" spans="1:9" x14ac:dyDescent="0.35">
      <c r="A205" t="s">
        <v>1187</v>
      </c>
      <c r="B205" t="s">
        <v>1188</v>
      </c>
      <c r="C205">
        <v>2023</v>
      </c>
      <c r="D205">
        <v>10</v>
      </c>
      <c r="E205" t="s">
        <v>935</v>
      </c>
      <c r="F205" t="s">
        <v>1189</v>
      </c>
      <c r="G205" t="s">
        <v>1190</v>
      </c>
      <c r="H205" t="s">
        <v>1191</v>
      </c>
      <c r="I205" t="s">
        <v>1192</v>
      </c>
    </row>
    <row r="206" spans="1:9" x14ac:dyDescent="0.35">
      <c r="A206" t="s">
        <v>1193</v>
      </c>
      <c r="B206" t="s">
        <v>1194</v>
      </c>
      <c r="C206">
        <v>2020</v>
      </c>
      <c r="D206">
        <v>16</v>
      </c>
      <c r="E206" t="s">
        <v>935</v>
      </c>
      <c r="F206" t="s">
        <v>1195</v>
      </c>
      <c r="G206" t="s">
        <v>284</v>
      </c>
      <c r="H206" t="s">
        <v>1196</v>
      </c>
      <c r="I206" t="s">
        <v>1197</v>
      </c>
    </row>
    <row r="207" spans="1:9" x14ac:dyDescent="0.35">
      <c r="A207" t="s">
        <v>1198</v>
      </c>
      <c r="B207" t="s">
        <v>1199</v>
      </c>
      <c r="C207">
        <v>2023</v>
      </c>
      <c r="D207">
        <v>12</v>
      </c>
      <c r="E207" t="s">
        <v>935</v>
      </c>
      <c r="F207" t="s">
        <v>1200</v>
      </c>
      <c r="G207" t="s">
        <v>725</v>
      </c>
      <c r="H207" t="s">
        <v>1201</v>
      </c>
      <c r="I207" t="s">
        <v>1202</v>
      </c>
    </row>
    <row r="208" spans="1:9" x14ac:dyDescent="0.35">
      <c r="A208" t="s">
        <v>1203</v>
      </c>
      <c r="B208" t="s">
        <v>1204</v>
      </c>
      <c r="C208">
        <v>2019</v>
      </c>
      <c r="D208">
        <v>16</v>
      </c>
      <c r="E208" t="s">
        <v>935</v>
      </c>
      <c r="F208" t="s">
        <v>1205</v>
      </c>
      <c r="G208" t="s">
        <v>1206</v>
      </c>
      <c r="H208" t="s">
        <v>1207</v>
      </c>
      <c r="I208" t="s">
        <v>1208</v>
      </c>
    </row>
    <row r="209" spans="1:9" x14ac:dyDescent="0.35">
      <c r="A209" t="s">
        <v>1209</v>
      </c>
      <c r="B209" t="s">
        <v>1210</v>
      </c>
      <c r="C209">
        <v>2019</v>
      </c>
      <c r="D209">
        <v>32</v>
      </c>
      <c r="E209" t="s">
        <v>935</v>
      </c>
      <c r="F209" t="s">
        <v>1211</v>
      </c>
      <c r="G209" t="s">
        <v>386</v>
      </c>
      <c r="H209" t="s">
        <v>1212</v>
      </c>
      <c r="I209" t="s">
        <v>1213</v>
      </c>
    </row>
    <row r="210" spans="1:9" x14ac:dyDescent="0.35">
      <c r="A210" t="s">
        <v>1214</v>
      </c>
      <c r="B210" t="s">
        <v>1215</v>
      </c>
      <c r="C210">
        <v>2022</v>
      </c>
      <c r="D210">
        <v>4</v>
      </c>
      <c r="E210" t="s">
        <v>935</v>
      </c>
      <c r="F210" t="s">
        <v>1216</v>
      </c>
      <c r="G210" t="s">
        <v>1217</v>
      </c>
      <c r="H210" t="s">
        <v>1218</v>
      </c>
      <c r="I210" t="s">
        <v>1219</v>
      </c>
    </row>
    <row r="211" spans="1:9" x14ac:dyDescent="0.35">
      <c r="A211" t="s">
        <v>1220</v>
      </c>
      <c r="B211" t="s">
        <v>1221</v>
      </c>
      <c r="C211">
        <v>2011</v>
      </c>
      <c r="D211">
        <v>20</v>
      </c>
      <c r="E211" t="s">
        <v>935</v>
      </c>
      <c r="F211" t="s">
        <v>1222</v>
      </c>
      <c r="G211" t="s">
        <v>1223</v>
      </c>
      <c r="H211" t="s">
        <v>1224</v>
      </c>
      <c r="I211" t="s">
        <v>1225</v>
      </c>
    </row>
    <row r="212" spans="1:9" x14ac:dyDescent="0.35">
      <c r="A212" t="s">
        <v>1226</v>
      </c>
      <c r="B212" t="s">
        <v>1227</v>
      </c>
      <c r="C212">
        <v>2019</v>
      </c>
      <c r="D212">
        <v>16</v>
      </c>
      <c r="E212" t="s">
        <v>1228</v>
      </c>
      <c r="F212" t="s">
        <v>1229</v>
      </c>
      <c r="G212" t="s">
        <v>1230</v>
      </c>
      <c r="H212" t="s">
        <v>1231</v>
      </c>
      <c r="I212" t="s">
        <v>1232</v>
      </c>
    </row>
    <row r="213" spans="1:9" x14ac:dyDescent="0.35">
      <c r="A213" t="s">
        <v>1233</v>
      </c>
      <c r="B213" t="s">
        <v>1234</v>
      </c>
      <c r="C213">
        <v>2018</v>
      </c>
      <c r="D213">
        <v>16</v>
      </c>
      <c r="E213" t="s">
        <v>1228</v>
      </c>
      <c r="F213" t="s">
        <v>1235</v>
      </c>
      <c r="G213" t="s">
        <v>1236</v>
      </c>
      <c r="H213" t="s">
        <v>1237</v>
      </c>
      <c r="I213" t="s">
        <v>1238</v>
      </c>
    </row>
    <row r="214" spans="1:9" x14ac:dyDescent="0.35">
      <c r="A214" t="s">
        <v>1239</v>
      </c>
      <c r="B214" t="s">
        <v>1240</v>
      </c>
      <c r="C214">
        <v>2021</v>
      </c>
      <c r="D214">
        <v>12</v>
      </c>
      <c r="E214" t="s">
        <v>1228</v>
      </c>
      <c r="F214" t="s">
        <v>1241</v>
      </c>
      <c r="G214" t="s">
        <v>1242</v>
      </c>
      <c r="H214" t="s">
        <v>1243</v>
      </c>
      <c r="I214" t="s">
        <v>1244</v>
      </c>
    </row>
    <row r="215" spans="1:9" x14ac:dyDescent="0.35">
      <c r="A215" t="s">
        <v>1245</v>
      </c>
      <c r="B215" t="s">
        <v>1246</v>
      </c>
      <c r="C215">
        <v>2020</v>
      </c>
      <c r="D215">
        <v>16</v>
      </c>
      <c r="E215" t="s">
        <v>1228</v>
      </c>
      <c r="F215" t="s">
        <v>1247</v>
      </c>
      <c r="G215" t="s">
        <v>1248</v>
      </c>
      <c r="H215" t="s">
        <v>1249</v>
      </c>
      <c r="I215" t="s">
        <v>1250</v>
      </c>
    </row>
    <row r="216" spans="1:9" x14ac:dyDescent="0.35">
      <c r="A216" t="s">
        <v>1251</v>
      </c>
      <c r="B216" t="s">
        <v>1252</v>
      </c>
      <c r="C216">
        <v>2022</v>
      </c>
      <c r="D216">
        <v>6</v>
      </c>
      <c r="E216" t="s">
        <v>1228</v>
      </c>
      <c r="F216" t="s">
        <v>1253</v>
      </c>
    </row>
    <row r="217" spans="1:9" x14ac:dyDescent="0.35">
      <c r="A217" t="s">
        <v>1254</v>
      </c>
      <c r="B217" t="s">
        <v>1255</v>
      </c>
      <c r="C217">
        <v>2021</v>
      </c>
      <c r="D217">
        <v>8</v>
      </c>
      <c r="E217" t="s">
        <v>1228</v>
      </c>
      <c r="F217" t="s">
        <v>1256</v>
      </c>
      <c r="G217" t="s">
        <v>1257</v>
      </c>
      <c r="H217" t="s">
        <v>1258</v>
      </c>
      <c r="I217" t="s">
        <v>1259</v>
      </c>
    </row>
    <row r="218" spans="1:9" x14ac:dyDescent="0.35">
      <c r="A218" t="s">
        <v>1260</v>
      </c>
      <c r="B218" t="s">
        <v>1261</v>
      </c>
      <c r="C218">
        <v>2013</v>
      </c>
      <c r="D218">
        <v>20</v>
      </c>
      <c r="E218" t="s">
        <v>1228</v>
      </c>
      <c r="F218" t="s">
        <v>1262</v>
      </c>
      <c r="G218" t="s">
        <v>960</v>
      </c>
      <c r="H218" t="s">
        <v>1263</v>
      </c>
      <c r="I218" t="s">
        <v>1264</v>
      </c>
    </row>
    <row r="219" spans="1:9" x14ac:dyDescent="0.35">
      <c r="A219" t="s">
        <v>1265</v>
      </c>
      <c r="B219" t="s">
        <v>1266</v>
      </c>
      <c r="C219">
        <v>2021</v>
      </c>
      <c r="D219">
        <v>1</v>
      </c>
      <c r="E219" t="s">
        <v>1228</v>
      </c>
      <c r="F219" t="s">
        <v>1267</v>
      </c>
      <c r="G219" t="s">
        <v>1268</v>
      </c>
      <c r="H219" t="s">
        <v>1269</v>
      </c>
      <c r="I219" t="s">
        <v>1270</v>
      </c>
    </row>
    <row r="220" spans="1:9" x14ac:dyDescent="0.35">
      <c r="A220" t="s">
        <v>1271</v>
      </c>
      <c r="B220" t="s">
        <v>1272</v>
      </c>
      <c r="C220">
        <v>2022</v>
      </c>
      <c r="D220">
        <v>16</v>
      </c>
      <c r="E220" t="s">
        <v>1228</v>
      </c>
      <c r="F220" t="s">
        <v>1273</v>
      </c>
      <c r="G220" t="s">
        <v>319</v>
      </c>
      <c r="H220" t="s">
        <v>1274</v>
      </c>
      <c r="I220" t="s">
        <v>1275</v>
      </c>
    </row>
    <row r="221" spans="1:9" x14ac:dyDescent="0.35">
      <c r="A221" t="s">
        <v>1276</v>
      </c>
      <c r="B221" t="s">
        <v>1277</v>
      </c>
      <c r="C221">
        <v>2020</v>
      </c>
      <c r="D221">
        <v>16</v>
      </c>
      <c r="E221" t="s">
        <v>1228</v>
      </c>
      <c r="F221" t="s">
        <v>1278</v>
      </c>
      <c r="G221" t="s">
        <v>1157</v>
      </c>
      <c r="H221" t="s">
        <v>1279</v>
      </c>
      <c r="I221" t="s">
        <v>1280</v>
      </c>
    </row>
    <row r="222" spans="1:9" x14ac:dyDescent="0.35">
      <c r="A222" t="s">
        <v>1281</v>
      </c>
      <c r="B222" t="s">
        <v>1282</v>
      </c>
      <c r="C222">
        <v>2015</v>
      </c>
      <c r="D222">
        <v>16</v>
      </c>
      <c r="E222" t="s">
        <v>1228</v>
      </c>
      <c r="F222" t="s">
        <v>1283</v>
      </c>
      <c r="G222" t="s">
        <v>1284</v>
      </c>
      <c r="H222" t="s">
        <v>1285</v>
      </c>
      <c r="I222" t="s">
        <v>1286</v>
      </c>
    </row>
    <row r="223" spans="1:9" x14ac:dyDescent="0.35">
      <c r="A223" t="s">
        <v>1287</v>
      </c>
      <c r="B223" t="s">
        <v>1288</v>
      </c>
      <c r="C223">
        <v>2014</v>
      </c>
      <c r="D223">
        <v>16</v>
      </c>
      <c r="E223" t="s">
        <v>1228</v>
      </c>
      <c r="F223" t="s">
        <v>1289</v>
      </c>
      <c r="G223" t="s">
        <v>1290</v>
      </c>
      <c r="H223" t="s">
        <v>1291</v>
      </c>
      <c r="I223" t="s">
        <v>1292</v>
      </c>
    </row>
    <row r="224" spans="1:9" x14ac:dyDescent="0.35">
      <c r="A224" t="s">
        <v>1293</v>
      </c>
      <c r="B224" t="s">
        <v>1294</v>
      </c>
      <c r="C224">
        <v>2016</v>
      </c>
      <c r="D224">
        <v>20</v>
      </c>
      <c r="E224" t="s">
        <v>1228</v>
      </c>
      <c r="F224" t="s">
        <v>1295</v>
      </c>
      <c r="G224" t="s">
        <v>1296</v>
      </c>
      <c r="H224" t="s">
        <v>1297</v>
      </c>
      <c r="I224" t="s">
        <v>1298</v>
      </c>
    </row>
    <row r="225" spans="1:9" x14ac:dyDescent="0.35">
      <c r="A225" t="s">
        <v>1299</v>
      </c>
      <c r="B225" t="s">
        <v>1300</v>
      </c>
      <c r="C225">
        <v>2021</v>
      </c>
      <c r="D225">
        <v>12</v>
      </c>
      <c r="E225" t="s">
        <v>1228</v>
      </c>
      <c r="F225" t="s">
        <v>1301</v>
      </c>
      <c r="G225" t="s">
        <v>1302</v>
      </c>
      <c r="H225" t="s">
        <v>1303</v>
      </c>
      <c r="I225" t="s">
        <v>1304</v>
      </c>
    </row>
    <row r="226" spans="1:9" x14ac:dyDescent="0.35">
      <c r="A226" t="s">
        <v>1305</v>
      </c>
      <c r="B226" t="s">
        <v>1306</v>
      </c>
      <c r="C226">
        <v>2019</v>
      </c>
      <c r="D226">
        <v>16</v>
      </c>
      <c r="E226" t="s">
        <v>1228</v>
      </c>
      <c r="F226" t="s">
        <v>1307</v>
      </c>
      <c r="G226" t="s">
        <v>1308</v>
      </c>
      <c r="H226" t="s">
        <v>1309</v>
      </c>
      <c r="I226" t="s">
        <v>1310</v>
      </c>
    </row>
    <row r="227" spans="1:9" x14ac:dyDescent="0.35">
      <c r="A227" t="s">
        <v>1311</v>
      </c>
      <c r="B227" t="s">
        <v>1312</v>
      </c>
      <c r="C227">
        <v>2013</v>
      </c>
      <c r="D227">
        <v>24</v>
      </c>
      <c r="E227" t="s">
        <v>1228</v>
      </c>
      <c r="F227" t="s">
        <v>1313</v>
      </c>
    </row>
    <row r="228" spans="1:9" x14ac:dyDescent="0.35">
      <c r="A228" t="s">
        <v>1314</v>
      </c>
      <c r="B228" t="s">
        <v>1315</v>
      </c>
      <c r="C228">
        <v>2018</v>
      </c>
      <c r="D228">
        <v>6</v>
      </c>
      <c r="E228" t="s">
        <v>1228</v>
      </c>
      <c r="F228" t="s">
        <v>1316</v>
      </c>
      <c r="G228" t="s">
        <v>1317</v>
      </c>
      <c r="H228" t="s">
        <v>1318</v>
      </c>
      <c r="I228" t="s">
        <v>1319</v>
      </c>
    </row>
    <row r="229" spans="1:9" x14ac:dyDescent="0.35">
      <c r="A229" t="s">
        <v>1320</v>
      </c>
      <c r="B229" t="s">
        <v>1321</v>
      </c>
      <c r="C229">
        <v>2006</v>
      </c>
      <c r="D229">
        <v>81</v>
      </c>
      <c r="E229" t="s">
        <v>1228</v>
      </c>
      <c r="F229" t="s">
        <v>1322</v>
      </c>
      <c r="G229" t="s">
        <v>1323</v>
      </c>
      <c r="H229" t="s">
        <v>1324</v>
      </c>
      <c r="I229" t="s">
        <v>1325</v>
      </c>
    </row>
    <row r="230" spans="1:9" x14ac:dyDescent="0.35">
      <c r="A230" t="s">
        <v>1326</v>
      </c>
      <c r="B230" t="s">
        <v>1327</v>
      </c>
      <c r="C230">
        <v>2012</v>
      </c>
      <c r="D230">
        <v>11</v>
      </c>
      <c r="E230" t="s">
        <v>1228</v>
      </c>
      <c r="F230" t="s">
        <v>1328</v>
      </c>
      <c r="G230" t="s">
        <v>1329</v>
      </c>
      <c r="H230" t="s">
        <v>1330</v>
      </c>
      <c r="I230" t="s">
        <v>1331</v>
      </c>
    </row>
    <row r="231" spans="1:9" x14ac:dyDescent="0.35">
      <c r="A231" t="s">
        <v>1332</v>
      </c>
      <c r="B231" t="s">
        <v>1333</v>
      </c>
      <c r="C231">
        <v>2013</v>
      </c>
      <c r="D231">
        <v>133</v>
      </c>
      <c r="E231" t="s">
        <v>1228</v>
      </c>
      <c r="F231" t="s">
        <v>1334</v>
      </c>
      <c r="G231" t="s">
        <v>1335</v>
      </c>
      <c r="H231" t="s">
        <v>1336</v>
      </c>
      <c r="I231" t="s">
        <v>1337</v>
      </c>
    </row>
    <row r="232" spans="1:9" x14ac:dyDescent="0.35">
      <c r="A232" t="s">
        <v>1338</v>
      </c>
      <c r="B232" t="s">
        <v>1339</v>
      </c>
      <c r="C232">
        <v>2018</v>
      </c>
      <c r="D232">
        <v>16</v>
      </c>
      <c r="E232" t="s">
        <v>1228</v>
      </c>
      <c r="F232" t="s">
        <v>1340</v>
      </c>
      <c r="G232" t="s">
        <v>1145</v>
      </c>
      <c r="H232" t="s">
        <v>1341</v>
      </c>
      <c r="I232" t="s">
        <v>1342</v>
      </c>
    </row>
    <row r="233" spans="1:9" x14ac:dyDescent="0.35">
      <c r="A233" t="s">
        <v>1343</v>
      </c>
      <c r="B233" t="s">
        <v>1344</v>
      </c>
      <c r="C233">
        <v>2019</v>
      </c>
      <c r="D233">
        <v>16</v>
      </c>
      <c r="E233" t="s">
        <v>1228</v>
      </c>
      <c r="F233" t="s">
        <v>1345</v>
      </c>
      <c r="G233" t="s">
        <v>1346</v>
      </c>
      <c r="H233" t="s">
        <v>1347</v>
      </c>
      <c r="I233" t="s">
        <v>1348</v>
      </c>
    </row>
    <row r="234" spans="1:9" x14ac:dyDescent="0.35">
      <c r="A234" t="s">
        <v>1349</v>
      </c>
      <c r="B234" t="s">
        <v>1350</v>
      </c>
      <c r="C234">
        <v>2019</v>
      </c>
      <c r="D234">
        <v>16</v>
      </c>
      <c r="E234" t="s">
        <v>1228</v>
      </c>
      <c r="F234" t="s">
        <v>1351</v>
      </c>
      <c r="G234" t="s">
        <v>573</v>
      </c>
      <c r="H234" t="s">
        <v>1352</v>
      </c>
      <c r="I234" t="s">
        <v>1353</v>
      </c>
    </row>
    <row r="235" spans="1:9" x14ac:dyDescent="0.35">
      <c r="A235" t="s">
        <v>1354</v>
      </c>
      <c r="B235" t="s">
        <v>1355</v>
      </c>
      <c r="C235">
        <v>2022</v>
      </c>
      <c r="D235">
        <v>16</v>
      </c>
      <c r="E235" t="s">
        <v>1228</v>
      </c>
      <c r="F235" t="s">
        <v>1356</v>
      </c>
      <c r="G235" t="s">
        <v>1357</v>
      </c>
      <c r="H235" t="s">
        <v>1358</v>
      </c>
      <c r="I235" t="s">
        <v>1359</v>
      </c>
    </row>
    <row r="236" spans="1:9" x14ac:dyDescent="0.35">
      <c r="A236" t="s">
        <v>1360</v>
      </c>
      <c r="B236" t="s">
        <v>1361</v>
      </c>
      <c r="C236">
        <v>2022</v>
      </c>
      <c r="D236">
        <v>6</v>
      </c>
      <c r="E236" t="s">
        <v>1228</v>
      </c>
      <c r="F236" t="s">
        <v>1362</v>
      </c>
      <c r="G236" t="s">
        <v>1302</v>
      </c>
      <c r="H236" t="s">
        <v>1363</v>
      </c>
      <c r="I236" t="s">
        <v>1364</v>
      </c>
    </row>
    <row r="237" spans="1:9" x14ac:dyDescent="0.35">
      <c r="A237" t="s">
        <v>1365</v>
      </c>
      <c r="B237" t="s">
        <v>1366</v>
      </c>
      <c r="C237">
        <v>2018</v>
      </c>
      <c r="D237">
        <v>36</v>
      </c>
      <c r="E237" t="s">
        <v>1228</v>
      </c>
      <c r="F237" t="s">
        <v>1367</v>
      </c>
      <c r="G237" t="s">
        <v>1368</v>
      </c>
      <c r="H237" t="s">
        <v>1369</v>
      </c>
      <c r="I237" t="s">
        <v>1370</v>
      </c>
    </row>
    <row r="238" spans="1:9" x14ac:dyDescent="0.35">
      <c r="A238" t="s">
        <v>1371</v>
      </c>
      <c r="B238" t="s">
        <v>1372</v>
      </c>
      <c r="C238">
        <v>2020</v>
      </c>
      <c r="D238">
        <v>16</v>
      </c>
      <c r="E238" t="s">
        <v>1228</v>
      </c>
      <c r="F238" t="s">
        <v>1373</v>
      </c>
      <c r="G238" t="s">
        <v>1374</v>
      </c>
      <c r="H238" t="s">
        <v>1375</v>
      </c>
      <c r="I238" t="s">
        <v>1376</v>
      </c>
    </row>
    <row r="239" spans="1:9" x14ac:dyDescent="0.35">
      <c r="A239" t="s">
        <v>1377</v>
      </c>
      <c r="B239" t="s">
        <v>1378</v>
      </c>
      <c r="C239">
        <v>2018</v>
      </c>
      <c r="D239">
        <v>16</v>
      </c>
      <c r="E239" t="s">
        <v>1228</v>
      </c>
      <c r="F239" t="s">
        <v>1379</v>
      </c>
      <c r="G239" t="s">
        <v>1380</v>
      </c>
      <c r="H239" t="s">
        <v>1381</v>
      </c>
      <c r="I239" t="s">
        <v>1382</v>
      </c>
    </row>
    <row r="240" spans="1:9" x14ac:dyDescent="0.35">
      <c r="A240" t="s">
        <v>1383</v>
      </c>
      <c r="B240" t="s">
        <v>1384</v>
      </c>
      <c r="C240">
        <v>2020</v>
      </c>
      <c r="D240">
        <v>12</v>
      </c>
      <c r="E240" t="s">
        <v>1228</v>
      </c>
      <c r="F240" t="s">
        <v>1385</v>
      </c>
      <c r="G240" t="s">
        <v>1386</v>
      </c>
      <c r="H240" t="s">
        <v>1387</v>
      </c>
      <c r="I240" t="s">
        <v>1388</v>
      </c>
    </row>
    <row r="241" spans="1:9" x14ac:dyDescent="0.35">
      <c r="A241" t="s">
        <v>1389</v>
      </c>
      <c r="B241" t="s">
        <v>1390</v>
      </c>
      <c r="C241">
        <v>2017</v>
      </c>
      <c r="D241">
        <v>32</v>
      </c>
      <c r="E241" t="s">
        <v>1228</v>
      </c>
      <c r="F241" t="s">
        <v>1391</v>
      </c>
      <c r="G241" t="s">
        <v>1392</v>
      </c>
      <c r="H241" t="s">
        <v>1393</v>
      </c>
      <c r="I241" t="s">
        <v>1394</v>
      </c>
    </row>
    <row r="242" spans="1:9" x14ac:dyDescent="0.35">
      <c r="A242" t="s">
        <v>1395</v>
      </c>
      <c r="B242" t="s">
        <v>1396</v>
      </c>
      <c r="C242">
        <v>2018</v>
      </c>
      <c r="D242">
        <v>32</v>
      </c>
      <c r="E242" t="s">
        <v>1228</v>
      </c>
      <c r="F242" t="s">
        <v>1397</v>
      </c>
      <c r="G242" t="s">
        <v>1398</v>
      </c>
      <c r="H242" t="s">
        <v>1399</v>
      </c>
      <c r="I242" t="s">
        <v>1400</v>
      </c>
    </row>
    <row r="243" spans="1:9" x14ac:dyDescent="0.35">
      <c r="A243" t="s">
        <v>1401</v>
      </c>
      <c r="B243" t="s">
        <v>1402</v>
      </c>
      <c r="C243">
        <v>2020</v>
      </c>
      <c r="D243">
        <v>16</v>
      </c>
      <c r="E243" t="s">
        <v>1228</v>
      </c>
      <c r="F243" t="s">
        <v>1403</v>
      </c>
      <c r="G243" t="s">
        <v>1404</v>
      </c>
      <c r="H243" t="s">
        <v>1405</v>
      </c>
      <c r="I243" t="s">
        <v>1406</v>
      </c>
    </row>
    <row r="244" spans="1:9" x14ac:dyDescent="0.35">
      <c r="A244" t="s">
        <v>1407</v>
      </c>
      <c r="B244" t="s">
        <v>1408</v>
      </c>
      <c r="C244">
        <v>2019</v>
      </c>
      <c r="D244">
        <v>16</v>
      </c>
      <c r="E244" t="s">
        <v>1228</v>
      </c>
      <c r="F244" t="s">
        <v>1409</v>
      </c>
      <c r="G244" t="s">
        <v>1410</v>
      </c>
      <c r="H244" t="s">
        <v>1411</v>
      </c>
      <c r="I244" t="s">
        <v>1412</v>
      </c>
    </row>
    <row r="245" spans="1:9" x14ac:dyDescent="0.35">
      <c r="A245" t="s">
        <v>1413</v>
      </c>
      <c r="B245" t="s">
        <v>1414</v>
      </c>
      <c r="C245">
        <v>2015</v>
      </c>
      <c r="D245">
        <v>16</v>
      </c>
      <c r="E245" t="s">
        <v>1228</v>
      </c>
      <c r="F245" t="s">
        <v>1415</v>
      </c>
      <c r="G245" t="s">
        <v>1416</v>
      </c>
      <c r="H245" t="s">
        <v>1417</v>
      </c>
      <c r="I245" t="s">
        <v>1418</v>
      </c>
    </row>
    <row r="246" spans="1:9" x14ac:dyDescent="0.35">
      <c r="A246" t="s">
        <v>1419</v>
      </c>
      <c r="B246" t="s">
        <v>1420</v>
      </c>
      <c r="C246">
        <v>2019</v>
      </c>
      <c r="D246">
        <v>32</v>
      </c>
      <c r="E246" t="s">
        <v>1228</v>
      </c>
      <c r="F246" t="s">
        <v>1421</v>
      </c>
      <c r="G246" t="s">
        <v>1422</v>
      </c>
      <c r="H246" t="s">
        <v>1423</v>
      </c>
      <c r="I246" t="s">
        <v>1424</v>
      </c>
    </row>
    <row r="247" spans="1:9" x14ac:dyDescent="0.35">
      <c r="A247" t="s">
        <v>1425</v>
      </c>
      <c r="B247" t="s">
        <v>1426</v>
      </c>
      <c r="C247">
        <v>2017</v>
      </c>
      <c r="D247">
        <v>40</v>
      </c>
      <c r="E247" t="s">
        <v>1228</v>
      </c>
      <c r="F247" t="s">
        <v>1427</v>
      </c>
      <c r="G247" t="s">
        <v>1428</v>
      </c>
      <c r="H247" t="s">
        <v>1429</v>
      </c>
      <c r="I247" t="s">
        <v>1430</v>
      </c>
    </row>
    <row r="248" spans="1:9" x14ac:dyDescent="0.35">
      <c r="A248" t="s">
        <v>1431</v>
      </c>
      <c r="B248" t="s">
        <v>1432</v>
      </c>
      <c r="C248">
        <v>2021</v>
      </c>
      <c r="D248">
        <v>16</v>
      </c>
      <c r="E248" t="s">
        <v>1228</v>
      </c>
      <c r="F248" t="s">
        <v>1433</v>
      </c>
      <c r="G248" t="s">
        <v>567</v>
      </c>
      <c r="H248" t="s">
        <v>1434</v>
      </c>
      <c r="I248" t="s">
        <v>1435</v>
      </c>
    </row>
    <row r="249" spans="1:9" x14ac:dyDescent="0.35">
      <c r="A249" t="s">
        <v>1436</v>
      </c>
      <c r="B249" t="s">
        <v>1437</v>
      </c>
      <c r="C249">
        <v>2020</v>
      </c>
      <c r="D249">
        <v>16</v>
      </c>
      <c r="E249" t="s">
        <v>1228</v>
      </c>
      <c r="F249" t="s">
        <v>1438</v>
      </c>
    </row>
    <row r="250" spans="1:9" x14ac:dyDescent="0.35">
      <c r="A250" t="s">
        <v>1439</v>
      </c>
      <c r="B250" t="s">
        <v>1440</v>
      </c>
      <c r="C250">
        <v>2018</v>
      </c>
      <c r="D250">
        <v>16</v>
      </c>
      <c r="E250" t="s">
        <v>1228</v>
      </c>
      <c r="F250" t="s">
        <v>1441</v>
      </c>
      <c r="G250" t="s">
        <v>1442</v>
      </c>
      <c r="H250" t="s">
        <v>1443</v>
      </c>
      <c r="I250" t="s">
        <v>1444</v>
      </c>
    </row>
    <row r="251" spans="1:9" x14ac:dyDescent="0.35">
      <c r="A251" t="s">
        <v>1445</v>
      </c>
      <c r="B251" t="s">
        <v>1446</v>
      </c>
      <c r="C251">
        <v>2022</v>
      </c>
      <c r="D251">
        <v>16</v>
      </c>
      <c r="E251" t="s">
        <v>1228</v>
      </c>
      <c r="F251" t="s">
        <v>1447</v>
      </c>
      <c r="G251" t="s">
        <v>409</v>
      </c>
      <c r="H251" t="s">
        <v>1448</v>
      </c>
      <c r="I251" t="s">
        <v>1449</v>
      </c>
    </row>
    <row r="252" spans="1:9" x14ac:dyDescent="0.35">
      <c r="A252" t="s">
        <v>1450</v>
      </c>
      <c r="B252" t="s">
        <v>1451</v>
      </c>
      <c r="C252">
        <v>2025</v>
      </c>
      <c r="D252">
        <v>16</v>
      </c>
      <c r="E252" t="s">
        <v>1228</v>
      </c>
      <c r="F252" t="s">
        <v>1452</v>
      </c>
      <c r="G252" t="s">
        <v>1453</v>
      </c>
      <c r="H252" t="s">
        <v>1454</v>
      </c>
      <c r="I252" t="s">
        <v>1455</v>
      </c>
    </row>
    <row r="253" spans="1:9" x14ac:dyDescent="0.35">
      <c r="A253" t="s">
        <v>1456</v>
      </c>
      <c r="B253" t="s">
        <v>1457</v>
      </c>
      <c r="C253">
        <v>2019</v>
      </c>
      <c r="D253">
        <v>16</v>
      </c>
      <c r="E253" t="s">
        <v>1228</v>
      </c>
      <c r="F253" t="s">
        <v>1458</v>
      </c>
      <c r="G253" t="s">
        <v>1459</v>
      </c>
      <c r="H253" t="s">
        <v>1460</v>
      </c>
      <c r="I253" t="s">
        <v>1461</v>
      </c>
    </row>
    <row r="254" spans="1:9" x14ac:dyDescent="0.35">
      <c r="A254" t="s">
        <v>1462</v>
      </c>
      <c r="B254" t="s">
        <v>1463</v>
      </c>
      <c r="C254">
        <v>2016</v>
      </c>
      <c r="D254">
        <v>54</v>
      </c>
      <c r="E254" t="s">
        <v>1228</v>
      </c>
      <c r="F254" t="s">
        <v>1464</v>
      </c>
      <c r="G254" t="s">
        <v>1465</v>
      </c>
      <c r="H254" t="s">
        <v>1466</v>
      </c>
      <c r="I254" t="s">
        <v>1467</v>
      </c>
    </row>
    <row r="255" spans="1:9" x14ac:dyDescent="0.35">
      <c r="A255" t="s">
        <v>1468</v>
      </c>
      <c r="B255" t="s">
        <v>1469</v>
      </c>
      <c r="C255">
        <v>2020</v>
      </c>
      <c r="D255">
        <v>10</v>
      </c>
      <c r="E255" t="s">
        <v>1228</v>
      </c>
      <c r="F255" t="s">
        <v>1470</v>
      </c>
      <c r="G255" t="s">
        <v>1471</v>
      </c>
      <c r="H255" t="s">
        <v>1472</v>
      </c>
      <c r="I255" t="s">
        <v>1473</v>
      </c>
    </row>
    <row r="256" spans="1:9" x14ac:dyDescent="0.35">
      <c r="A256" t="s">
        <v>1474</v>
      </c>
      <c r="B256" t="s">
        <v>1475</v>
      </c>
      <c r="C256">
        <v>2021</v>
      </c>
      <c r="D256">
        <v>16</v>
      </c>
      <c r="E256" t="s">
        <v>1228</v>
      </c>
      <c r="F256" t="s">
        <v>1476</v>
      </c>
      <c r="G256" t="s">
        <v>1477</v>
      </c>
      <c r="H256" t="s">
        <v>1478</v>
      </c>
      <c r="I256" t="s">
        <v>1479</v>
      </c>
    </row>
    <row r="257" spans="1:9" x14ac:dyDescent="0.35">
      <c r="A257" t="s">
        <v>1480</v>
      </c>
      <c r="B257" t="s">
        <v>1481</v>
      </c>
      <c r="C257">
        <v>2021</v>
      </c>
      <c r="D257">
        <v>16</v>
      </c>
      <c r="E257" t="s">
        <v>1228</v>
      </c>
      <c r="F257" t="s">
        <v>1482</v>
      </c>
      <c r="G257" t="s">
        <v>1483</v>
      </c>
      <c r="H257" t="s">
        <v>1484</v>
      </c>
      <c r="I257" t="s">
        <v>1485</v>
      </c>
    </row>
    <row r="258" spans="1:9" x14ac:dyDescent="0.35">
      <c r="A258" t="s">
        <v>1486</v>
      </c>
      <c r="B258" t="s">
        <v>1487</v>
      </c>
      <c r="C258">
        <v>2014</v>
      </c>
      <c r="D258">
        <v>12</v>
      </c>
      <c r="E258" t="s">
        <v>1228</v>
      </c>
      <c r="F258" t="s">
        <v>1488</v>
      </c>
      <c r="G258" t="s">
        <v>1003</v>
      </c>
      <c r="H258" t="s">
        <v>1489</v>
      </c>
      <c r="I258" t="s">
        <v>1490</v>
      </c>
    </row>
    <row r="259" spans="1:9" x14ac:dyDescent="0.35">
      <c r="A259" t="s">
        <v>1491</v>
      </c>
      <c r="B259" t="s">
        <v>1492</v>
      </c>
      <c r="C259">
        <v>2011</v>
      </c>
      <c r="D259">
        <v>24</v>
      </c>
      <c r="E259" t="s">
        <v>1228</v>
      </c>
      <c r="F259" t="s">
        <v>1493</v>
      </c>
      <c r="G259" t="s">
        <v>1494</v>
      </c>
      <c r="H259" t="s">
        <v>1495</v>
      </c>
      <c r="I259" t="s">
        <v>1496</v>
      </c>
    </row>
    <row r="260" spans="1:9" x14ac:dyDescent="0.35">
      <c r="A260" t="s">
        <v>1497</v>
      </c>
      <c r="B260" t="s">
        <v>1498</v>
      </c>
      <c r="C260">
        <v>2011</v>
      </c>
      <c r="D260">
        <v>20</v>
      </c>
      <c r="E260" t="s">
        <v>1228</v>
      </c>
      <c r="F260" t="s">
        <v>1499</v>
      </c>
      <c r="G260" t="s">
        <v>778</v>
      </c>
      <c r="H260" t="s">
        <v>1500</v>
      </c>
      <c r="I260" t="s">
        <v>1501</v>
      </c>
    </row>
    <row r="261" spans="1:9" x14ac:dyDescent="0.35">
      <c r="A261" t="s">
        <v>1502</v>
      </c>
      <c r="B261" t="s">
        <v>1503</v>
      </c>
      <c r="C261">
        <v>2015</v>
      </c>
      <c r="D261">
        <v>20</v>
      </c>
      <c r="E261" t="s">
        <v>1228</v>
      </c>
      <c r="F261" t="s">
        <v>1504</v>
      </c>
      <c r="G261" t="s">
        <v>1505</v>
      </c>
      <c r="H261" t="s">
        <v>1506</v>
      </c>
      <c r="I261" t="s">
        <v>1507</v>
      </c>
    </row>
    <row r="262" spans="1:9" x14ac:dyDescent="0.35">
      <c r="A262" t="s">
        <v>1508</v>
      </c>
      <c r="B262" t="s">
        <v>1509</v>
      </c>
      <c r="C262">
        <v>2020</v>
      </c>
      <c r="D262">
        <v>16</v>
      </c>
      <c r="E262" t="s">
        <v>1228</v>
      </c>
      <c r="F262" t="s">
        <v>1510</v>
      </c>
      <c r="G262" t="s">
        <v>1511</v>
      </c>
      <c r="H262" t="s">
        <v>1512</v>
      </c>
      <c r="I262" t="s">
        <v>1513</v>
      </c>
    </row>
    <row r="263" spans="1:9" x14ac:dyDescent="0.35">
      <c r="A263" t="s">
        <v>1514</v>
      </c>
      <c r="B263" t="s">
        <v>1515</v>
      </c>
      <c r="C263">
        <v>2015</v>
      </c>
      <c r="D263">
        <v>16</v>
      </c>
      <c r="E263" t="s">
        <v>1228</v>
      </c>
      <c r="F263" t="s">
        <v>1516</v>
      </c>
      <c r="G263" t="s">
        <v>1517</v>
      </c>
      <c r="H263" t="s">
        <v>1518</v>
      </c>
      <c r="I263" t="s">
        <v>1519</v>
      </c>
    </row>
    <row r="264" spans="1:9" x14ac:dyDescent="0.35">
      <c r="A264" t="s">
        <v>1520</v>
      </c>
      <c r="B264" t="s">
        <v>1521</v>
      </c>
      <c r="C264">
        <v>2019</v>
      </c>
      <c r="D264">
        <v>16</v>
      </c>
      <c r="E264" t="s">
        <v>1228</v>
      </c>
      <c r="F264" t="s">
        <v>1522</v>
      </c>
      <c r="G264" t="s">
        <v>1523</v>
      </c>
      <c r="H264" t="s">
        <v>1524</v>
      </c>
      <c r="I264" t="s">
        <v>1525</v>
      </c>
    </row>
    <row r="265" spans="1:9" x14ac:dyDescent="0.35">
      <c r="A265" t="s">
        <v>1526</v>
      </c>
      <c r="B265" t="s">
        <v>1527</v>
      </c>
      <c r="C265">
        <v>2021</v>
      </c>
      <c r="D265">
        <v>20</v>
      </c>
      <c r="E265" t="s">
        <v>1228</v>
      </c>
      <c r="F265" t="s">
        <v>1528</v>
      </c>
      <c r="G265" t="s">
        <v>1529</v>
      </c>
      <c r="H265" t="s">
        <v>1530</v>
      </c>
      <c r="I265" t="s">
        <v>1531</v>
      </c>
    </row>
    <row r="266" spans="1:9" x14ac:dyDescent="0.35">
      <c r="A266" t="s">
        <v>1532</v>
      </c>
      <c r="B266" t="s">
        <v>1533</v>
      </c>
      <c r="C266">
        <v>2012</v>
      </c>
      <c r="D266">
        <v>20</v>
      </c>
      <c r="E266" t="s">
        <v>1228</v>
      </c>
      <c r="F266" t="s">
        <v>1534</v>
      </c>
      <c r="G266" t="s">
        <v>1465</v>
      </c>
      <c r="H266" t="s">
        <v>1535</v>
      </c>
      <c r="I266" t="s">
        <v>1536</v>
      </c>
    </row>
    <row r="267" spans="1:9" x14ac:dyDescent="0.35">
      <c r="A267" t="s">
        <v>1537</v>
      </c>
      <c r="B267" t="s">
        <v>1538</v>
      </c>
      <c r="C267">
        <v>2019</v>
      </c>
      <c r="D267">
        <v>40</v>
      </c>
      <c r="E267" t="s">
        <v>1228</v>
      </c>
      <c r="F267" t="s">
        <v>1539</v>
      </c>
      <c r="G267" t="s">
        <v>1236</v>
      </c>
      <c r="H267" t="s">
        <v>1540</v>
      </c>
      <c r="I267" t="s">
        <v>1541</v>
      </c>
    </row>
    <row r="268" spans="1:9" x14ac:dyDescent="0.35">
      <c r="A268" t="s">
        <v>1542</v>
      </c>
      <c r="B268" t="s">
        <v>1543</v>
      </c>
      <c r="C268">
        <v>2007</v>
      </c>
      <c r="D268">
        <v>17</v>
      </c>
      <c r="E268" t="s">
        <v>1228</v>
      </c>
      <c r="F268" t="s">
        <v>1544</v>
      </c>
      <c r="G268" t="s">
        <v>1545</v>
      </c>
      <c r="H268" t="s">
        <v>1546</v>
      </c>
      <c r="I268" t="s">
        <v>1547</v>
      </c>
    </row>
    <row r="269" spans="1:9" x14ac:dyDescent="0.35">
      <c r="A269" t="s">
        <v>1548</v>
      </c>
      <c r="B269" t="s">
        <v>1549</v>
      </c>
      <c r="C269">
        <v>2012</v>
      </c>
      <c r="D269">
        <v>20</v>
      </c>
      <c r="E269" t="s">
        <v>1228</v>
      </c>
      <c r="F269" t="s">
        <v>1550</v>
      </c>
      <c r="G269" t="s">
        <v>1551</v>
      </c>
      <c r="H269" t="s">
        <v>1552</v>
      </c>
      <c r="I269" t="s">
        <v>1553</v>
      </c>
    </row>
    <row r="270" spans="1:9" x14ac:dyDescent="0.35">
      <c r="A270" t="s">
        <v>1554</v>
      </c>
      <c r="B270" t="s">
        <v>1555</v>
      </c>
      <c r="C270">
        <v>2019</v>
      </c>
      <c r="D270">
        <v>16</v>
      </c>
      <c r="E270" t="s">
        <v>1228</v>
      </c>
      <c r="F270" t="s">
        <v>1556</v>
      </c>
      <c r="G270" t="s">
        <v>1557</v>
      </c>
      <c r="H270" t="s">
        <v>1558</v>
      </c>
      <c r="I270" t="s">
        <v>1559</v>
      </c>
    </row>
    <row r="271" spans="1:9" x14ac:dyDescent="0.35">
      <c r="A271" t="s">
        <v>1560</v>
      </c>
      <c r="B271" t="s">
        <v>1561</v>
      </c>
      <c r="C271">
        <v>2018</v>
      </c>
      <c r="D271">
        <v>16</v>
      </c>
      <c r="E271" t="s">
        <v>1228</v>
      </c>
      <c r="F271" t="s">
        <v>1562</v>
      </c>
      <c r="G271" t="s">
        <v>1563</v>
      </c>
      <c r="H271" t="s">
        <v>1564</v>
      </c>
      <c r="I271" t="s">
        <v>1565</v>
      </c>
    </row>
    <row r="272" spans="1:9" x14ac:dyDescent="0.35">
      <c r="A272" t="s">
        <v>1566</v>
      </c>
      <c r="B272" t="s">
        <v>1567</v>
      </c>
      <c r="C272">
        <v>2025</v>
      </c>
      <c r="D272">
        <v>12</v>
      </c>
      <c r="E272" t="s">
        <v>1228</v>
      </c>
      <c r="F272" t="s">
        <v>1568</v>
      </c>
      <c r="G272" t="s">
        <v>1569</v>
      </c>
      <c r="H272" t="s">
        <v>1570</v>
      </c>
      <c r="I272" t="s">
        <v>1571</v>
      </c>
    </row>
    <row r="273" spans="1:9" x14ac:dyDescent="0.35">
      <c r="A273" t="s">
        <v>1572</v>
      </c>
      <c r="B273" t="s">
        <v>1573</v>
      </c>
      <c r="C273">
        <v>2015</v>
      </c>
      <c r="D273">
        <v>10</v>
      </c>
      <c r="E273" t="s">
        <v>1228</v>
      </c>
      <c r="F273" t="s">
        <v>1574</v>
      </c>
      <c r="G273" t="s">
        <v>567</v>
      </c>
      <c r="H273" t="s">
        <v>1575</v>
      </c>
      <c r="I273" t="s">
        <v>1576</v>
      </c>
    </row>
    <row r="274" spans="1:9" x14ac:dyDescent="0.35">
      <c r="A274" t="s">
        <v>1577</v>
      </c>
      <c r="B274" t="s">
        <v>1578</v>
      </c>
      <c r="C274">
        <v>2017</v>
      </c>
      <c r="D274">
        <v>16</v>
      </c>
      <c r="E274" t="s">
        <v>1228</v>
      </c>
      <c r="F274" t="s">
        <v>1579</v>
      </c>
      <c r="G274" t="s">
        <v>1580</v>
      </c>
      <c r="H274" t="s">
        <v>1581</v>
      </c>
      <c r="I274" t="s">
        <v>1582</v>
      </c>
    </row>
    <row r="275" spans="1:9" x14ac:dyDescent="0.35">
      <c r="A275" t="s">
        <v>1583</v>
      </c>
      <c r="B275" t="s">
        <v>1584</v>
      </c>
      <c r="C275">
        <v>2017</v>
      </c>
      <c r="D275">
        <v>20</v>
      </c>
      <c r="E275" t="s">
        <v>1228</v>
      </c>
      <c r="F275" t="s">
        <v>1585</v>
      </c>
      <c r="G275" t="s">
        <v>1031</v>
      </c>
      <c r="H275" t="s">
        <v>1586</v>
      </c>
      <c r="I275" t="s">
        <v>1587</v>
      </c>
    </row>
    <row r="276" spans="1:9" x14ac:dyDescent="0.35">
      <c r="A276" t="s">
        <v>1588</v>
      </c>
      <c r="B276" t="s">
        <v>1589</v>
      </c>
      <c r="C276">
        <v>2016</v>
      </c>
      <c r="D276">
        <v>16</v>
      </c>
      <c r="E276" t="s">
        <v>1228</v>
      </c>
      <c r="F276" t="s">
        <v>1590</v>
      </c>
      <c r="G276" t="s">
        <v>1591</v>
      </c>
      <c r="H276" t="s">
        <v>1592</v>
      </c>
      <c r="I276" t="s">
        <v>1593</v>
      </c>
    </row>
    <row r="277" spans="1:9" x14ac:dyDescent="0.35">
      <c r="A277" t="s">
        <v>1594</v>
      </c>
      <c r="B277" t="s">
        <v>1595</v>
      </c>
      <c r="C277">
        <v>2017</v>
      </c>
      <c r="D277">
        <v>20</v>
      </c>
      <c r="E277" t="s">
        <v>1228</v>
      </c>
      <c r="F277" t="s">
        <v>1596</v>
      </c>
      <c r="G277" t="s">
        <v>1597</v>
      </c>
      <c r="H277" t="s">
        <v>1598</v>
      </c>
      <c r="I277" t="s">
        <v>1599</v>
      </c>
    </row>
    <row r="278" spans="1:9" x14ac:dyDescent="0.35">
      <c r="A278" t="s">
        <v>1600</v>
      </c>
      <c r="B278" t="s">
        <v>1601</v>
      </c>
      <c r="C278">
        <v>2021</v>
      </c>
      <c r="D278">
        <v>14</v>
      </c>
      <c r="E278" t="s">
        <v>1228</v>
      </c>
      <c r="F278" t="s">
        <v>1602</v>
      </c>
    </row>
    <row r="279" spans="1:9" x14ac:dyDescent="0.35">
      <c r="A279" t="s">
        <v>1603</v>
      </c>
      <c r="B279" t="s">
        <v>1604</v>
      </c>
      <c r="C279">
        <v>2024</v>
      </c>
      <c r="D279">
        <v>14</v>
      </c>
      <c r="E279" t="s">
        <v>1228</v>
      </c>
      <c r="F279" t="s">
        <v>1605</v>
      </c>
      <c r="G279" t="s">
        <v>1308</v>
      </c>
      <c r="H279" t="s">
        <v>1606</v>
      </c>
      <c r="I279" t="s">
        <v>1607</v>
      </c>
    </row>
    <row r="280" spans="1:9" x14ac:dyDescent="0.35">
      <c r="A280" t="s">
        <v>1608</v>
      </c>
      <c r="B280" t="s">
        <v>1609</v>
      </c>
      <c r="C280">
        <v>2023</v>
      </c>
      <c r="D280">
        <v>12</v>
      </c>
      <c r="E280" t="s">
        <v>1228</v>
      </c>
      <c r="F280" t="s">
        <v>1610</v>
      </c>
      <c r="G280" t="s">
        <v>625</v>
      </c>
      <c r="H280" t="s">
        <v>1611</v>
      </c>
      <c r="I280" t="s">
        <v>1612</v>
      </c>
    </row>
    <row r="281" spans="1:9" x14ac:dyDescent="0.35">
      <c r="A281" t="s">
        <v>1613</v>
      </c>
      <c r="B281" t="s">
        <v>1614</v>
      </c>
      <c r="C281">
        <v>2024</v>
      </c>
      <c r="D281">
        <v>12</v>
      </c>
      <c r="E281" t="s">
        <v>1228</v>
      </c>
      <c r="F281" t="s">
        <v>1615</v>
      </c>
      <c r="G281" t="s">
        <v>352</v>
      </c>
      <c r="H281" t="s">
        <v>1616</v>
      </c>
      <c r="I281" t="s">
        <v>1617</v>
      </c>
    </row>
    <row r="282" spans="1:9" x14ac:dyDescent="0.35">
      <c r="A282" t="s">
        <v>1618</v>
      </c>
      <c r="B282" t="s">
        <v>1619</v>
      </c>
      <c r="C282">
        <v>2023</v>
      </c>
      <c r="D282">
        <v>16</v>
      </c>
      <c r="E282" t="s">
        <v>1228</v>
      </c>
      <c r="F282" t="s">
        <v>1620</v>
      </c>
      <c r="G282" t="s">
        <v>1093</v>
      </c>
      <c r="H282" t="s">
        <v>1621</v>
      </c>
      <c r="I282" t="s">
        <v>1622</v>
      </c>
    </row>
    <row r="283" spans="1:9" x14ac:dyDescent="0.35">
      <c r="A283" t="s">
        <v>1623</v>
      </c>
      <c r="B283" t="s">
        <v>1624</v>
      </c>
      <c r="C283">
        <v>2023</v>
      </c>
      <c r="D283">
        <v>16</v>
      </c>
      <c r="E283" t="s">
        <v>1228</v>
      </c>
      <c r="F283" t="s">
        <v>1625</v>
      </c>
      <c r="G283" t="s">
        <v>1626</v>
      </c>
      <c r="H283" t="s">
        <v>1627</v>
      </c>
      <c r="I283" t="s">
        <v>1628</v>
      </c>
    </row>
    <row r="284" spans="1:9" x14ac:dyDescent="0.35">
      <c r="A284" t="s">
        <v>1629</v>
      </c>
      <c r="B284" t="s">
        <v>1630</v>
      </c>
      <c r="C284">
        <v>2023</v>
      </c>
      <c r="D284">
        <v>8</v>
      </c>
      <c r="E284" t="s">
        <v>1228</v>
      </c>
      <c r="F284" t="s">
        <v>1631</v>
      </c>
      <c r="G284" t="s">
        <v>1632</v>
      </c>
      <c r="H284" t="s">
        <v>1633</v>
      </c>
      <c r="I284" t="s">
        <v>1634</v>
      </c>
    </row>
    <row r="285" spans="1:9" x14ac:dyDescent="0.35">
      <c r="A285" t="s">
        <v>1635</v>
      </c>
      <c r="B285" t="s">
        <v>1636</v>
      </c>
      <c r="C285">
        <v>2024</v>
      </c>
      <c r="D285">
        <v>16</v>
      </c>
      <c r="E285" t="s">
        <v>1228</v>
      </c>
      <c r="F285" t="s">
        <v>1637</v>
      </c>
      <c r="G285" t="s">
        <v>1569</v>
      </c>
      <c r="H285" t="s">
        <v>1638</v>
      </c>
      <c r="I285" t="s">
        <v>1639</v>
      </c>
    </row>
    <row r="286" spans="1:9" x14ac:dyDescent="0.35">
      <c r="A286" t="s">
        <v>1640</v>
      </c>
      <c r="B286" t="s">
        <v>1641</v>
      </c>
      <c r="C286">
        <v>2023</v>
      </c>
      <c r="D286">
        <v>11</v>
      </c>
      <c r="E286" t="s">
        <v>1228</v>
      </c>
      <c r="F286" t="s">
        <v>1642</v>
      </c>
      <c r="G286" t="s">
        <v>1643</v>
      </c>
      <c r="H286" t="s">
        <v>1644</v>
      </c>
      <c r="I286" t="s">
        <v>1645</v>
      </c>
    </row>
    <row r="287" spans="1:9" x14ac:dyDescent="0.35">
      <c r="A287" t="s">
        <v>1646</v>
      </c>
      <c r="B287" t="s">
        <v>1647</v>
      </c>
      <c r="C287">
        <v>2023</v>
      </c>
      <c r="D287">
        <v>16</v>
      </c>
      <c r="E287" t="s">
        <v>1648</v>
      </c>
      <c r="F287" t="s">
        <v>1649</v>
      </c>
      <c r="G287" t="s">
        <v>1569</v>
      </c>
      <c r="H287" t="s">
        <v>1650</v>
      </c>
      <c r="I287" t="s">
        <v>1651</v>
      </c>
    </row>
    <row r="288" spans="1:9" x14ac:dyDescent="0.35">
      <c r="A288" t="s">
        <v>1652</v>
      </c>
      <c r="B288" t="s">
        <v>1653</v>
      </c>
      <c r="C288">
        <v>2023</v>
      </c>
      <c r="D288">
        <v>12</v>
      </c>
      <c r="E288" t="s">
        <v>1648</v>
      </c>
      <c r="F288" t="s">
        <v>1654</v>
      </c>
      <c r="G288" t="s">
        <v>567</v>
      </c>
      <c r="H288" t="s">
        <v>1655</v>
      </c>
      <c r="I288" t="s">
        <v>1656</v>
      </c>
    </row>
    <row r="289" spans="1:9" x14ac:dyDescent="0.35">
      <c r="A289" t="s">
        <v>1657</v>
      </c>
      <c r="B289" t="s">
        <v>1658</v>
      </c>
      <c r="C289">
        <v>2023</v>
      </c>
      <c r="D289">
        <v>16</v>
      </c>
      <c r="E289" t="s">
        <v>1648</v>
      </c>
      <c r="F289" t="s">
        <v>1659</v>
      </c>
      <c r="G289" t="s">
        <v>1660</v>
      </c>
      <c r="H289" t="s">
        <v>1661</v>
      </c>
      <c r="I289" t="s">
        <v>1662</v>
      </c>
    </row>
    <row r="290" spans="1:9" x14ac:dyDescent="0.35">
      <c r="A290" t="s">
        <v>1663</v>
      </c>
      <c r="B290" t="s">
        <v>1664</v>
      </c>
      <c r="C290">
        <v>2024</v>
      </c>
      <c r="D290">
        <v>12</v>
      </c>
      <c r="E290" t="s">
        <v>1665</v>
      </c>
      <c r="F290" t="s">
        <v>1666</v>
      </c>
      <c r="G290" t="s">
        <v>352</v>
      </c>
      <c r="H290" t="s">
        <v>1667</v>
      </c>
      <c r="I290" t="s">
        <v>1668</v>
      </c>
    </row>
    <row r="291" spans="1:9" x14ac:dyDescent="0.35">
      <c r="A291" t="s">
        <v>1669</v>
      </c>
      <c r="B291" t="s">
        <v>1670</v>
      </c>
      <c r="C291">
        <v>2025</v>
      </c>
      <c r="D291">
        <v>12</v>
      </c>
      <c r="E291" t="s">
        <v>1665</v>
      </c>
      <c r="F291" t="s">
        <v>1671</v>
      </c>
      <c r="G291" t="s">
        <v>807</v>
      </c>
      <c r="H291" t="s">
        <v>1672</v>
      </c>
      <c r="I291" t="s">
        <v>1673</v>
      </c>
    </row>
    <row r="292" spans="1:9" x14ac:dyDescent="0.35">
      <c r="A292" t="s">
        <v>1674</v>
      </c>
      <c r="B292" t="s">
        <v>1675</v>
      </c>
      <c r="C292">
        <v>2024</v>
      </c>
      <c r="D292">
        <v>16</v>
      </c>
      <c r="E292" t="s">
        <v>1665</v>
      </c>
      <c r="F292" t="s">
        <v>1676</v>
      </c>
      <c r="G292" t="s">
        <v>997</v>
      </c>
      <c r="H292" t="s">
        <v>1677</v>
      </c>
      <c r="I292" t="s">
        <v>1678</v>
      </c>
    </row>
    <row r="293" spans="1:9" x14ac:dyDescent="0.35">
      <c r="A293" t="s">
        <v>1679</v>
      </c>
      <c r="B293" t="s">
        <v>1680</v>
      </c>
      <c r="C293">
        <v>2023</v>
      </c>
      <c r="D293">
        <v>20</v>
      </c>
      <c r="E293" t="s">
        <v>1665</v>
      </c>
      <c r="F293" t="s">
        <v>1681</v>
      </c>
      <c r="G293" t="s">
        <v>1682</v>
      </c>
      <c r="H293" t="s">
        <v>1683</v>
      </c>
      <c r="I293" t="s">
        <v>1684</v>
      </c>
    </row>
    <row r="294" spans="1:9" x14ac:dyDescent="0.35">
      <c r="A294" t="s">
        <v>1685</v>
      </c>
      <c r="B294" t="s">
        <v>1686</v>
      </c>
      <c r="C294">
        <v>2023</v>
      </c>
      <c r="D294">
        <v>14</v>
      </c>
      <c r="E294" t="s">
        <v>1665</v>
      </c>
      <c r="F294" t="s">
        <v>1687</v>
      </c>
      <c r="G294" t="s">
        <v>836</v>
      </c>
      <c r="H294" t="s">
        <v>1688</v>
      </c>
      <c r="I294" t="s">
        <v>1689</v>
      </c>
    </row>
    <row r="295" spans="1:9" x14ac:dyDescent="0.35">
      <c r="A295" t="s">
        <v>1690</v>
      </c>
      <c r="B295" t="s">
        <v>1691</v>
      </c>
      <c r="C295">
        <v>2023</v>
      </c>
      <c r="D295">
        <v>16</v>
      </c>
      <c r="E295" t="s">
        <v>1665</v>
      </c>
      <c r="F295" t="s">
        <v>1692</v>
      </c>
      <c r="G295" t="s">
        <v>1693</v>
      </c>
      <c r="H295" t="s">
        <v>1694</v>
      </c>
      <c r="I295" t="s">
        <v>1695</v>
      </c>
    </row>
    <row r="296" spans="1:9" x14ac:dyDescent="0.35">
      <c r="A296" t="s">
        <v>1696</v>
      </c>
      <c r="B296" t="s">
        <v>1697</v>
      </c>
      <c r="C296">
        <v>2023</v>
      </c>
      <c r="D296">
        <v>18</v>
      </c>
      <c r="E296" t="s">
        <v>1665</v>
      </c>
      <c r="F296" t="s">
        <v>1698</v>
      </c>
      <c r="G296" t="s">
        <v>1682</v>
      </c>
      <c r="H296" t="s">
        <v>1699</v>
      </c>
      <c r="I296" t="s">
        <v>1700</v>
      </c>
    </row>
    <row r="297" spans="1:9" x14ac:dyDescent="0.35">
      <c r="A297" t="s">
        <v>1701</v>
      </c>
      <c r="B297" t="s">
        <v>1702</v>
      </c>
      <c r="C297">
        <v>2025</v>
      </c>
      <c r="D297">
        <v>12</v>
      </c>
      <c r="E297">
        <v>8</v>
      </c>
      <c r="F297" t="s">
        <v>1703</v>
      </c>
      <c r="G297" t="s">
        <v>1704</v>
      </c>
      <c r="H297" t="s">
        <v>1705</v>
      </c>
      <c r="I297" t="s">
        <v>1706</v>
      </c>
    </row>
    <row r="298" spans="1:9" x14ac:dyDescent="0.35">
      <c r="A298" t="s">
        <v>1707</v>
      </c>
      <c r="B298" t="s">
        <v>1708</v>
      </c>
      <c r="C298">
        <v>2024</v>
      </c>
      <c r="D298">
        <v>12</v>
      </c>
      <c r="E298">
        <v>8</v>
      </c>
      <c r="F298" t="s">
        <v>1709</v>
      </c>
      <c r="G298" t="s">
        <v>1459</v>
      </c>
      <c r="H298" t="s">
        <v>1710</v>
      </c>
      <c r="I298" t="s">
        <v>1711</v>
      </c>
    </row>
    <row r="299" spans="1:9" x14ac:dyDescent="0.35">
      <c r="A299" t="s">
        <v>1712</v>
      </c>
      <c r="B299" t="s">
        <v>1713</v>
      </c>
      <c r="C299">
        <v>2024</v>
      </c>
      <c r="D299">
        <v>16</v>
      </c>
      <c r="E299">
        <v>8</v>
      </c>
      <c r="F299" t="s">
        <v>1714</v>
      </c>
      <c r="G299" t="s">
        <v>1715</v>
      </c>
      <c r="H299" t="s">
        <v>1716</v>
      </c>
      <c r="I299" t="s">
        <v>1717</v>
      </c>
    </row>
    <row r="300" spans="1:9" x14ac:dyDescent="0.35">
      <c r="A300" t="s">
        <v>1718</v>
      </c>
      <c r="B300" t="s">
        <v>1719</v>
      </c>
      <c r="C300">
        <v>2024</v>
      </c>
      <c r="D300">
        <v>10</v>
      </c>
      <c r="E300">
        <v>8</v>
      </c>
      <c r="F300" t="s">
        <v>1720</v>
      </c>
      <c r="G300" t="s">
        <v>1721</v>
      </c>
      <c r="H300" t="s">
        <v>1722</v>
      </c>
      <c r="I300" t="s">
        <v>1723</v>
      </c>
    </row>
    <row r="301" spans="1:9" x14ac:dyDescent="0.35">
      <c r="A301" t="s">
        <v>1724</v>
      </c>
      <c r="B301" t="s">
        <v>1725</v>
      </c>
      <c r="C301">
        <v>2024</v>
      </c>
      <c r="D301">
        <v>20</v>
      </c>
      <c r="E301">
        <v>8</v>
      </c>
      <c r="F301" t="s">
        <v>1726</v>
      </c>
      <c r="G301" t="s">
        <v>1727</v>
      </c>
      <c r="H301" t="s">
        <v>1728</v>
      </c>
      <c r="I301" t="s">
        <v>1729</v>
      </c>
    </row>
    <row r="302" spans="1:9" x14ac:dyDescent="0.35">
      <c r="A302" t="s">
        <v>1730</v>
      </c>
      <c r="B302" t="s">
        <v>1731</v>
      </c>
      <c r="C302">
        <v>2023</v>
      </c>
      <c r="D302">
        <v>16</v>
      </c>
      <c r="E302">
        <v>8</v>
      </c>
      <c r="F302" t="s">
        <v>1732</v>
      </c>
      <c r="G302" t="s">
        <v>1733</v>
      </c>
      <c r="H302" t="s">
        <v>1734</v>
      </c>
      <c r="I302" t="s">
        <v>1735</v>
      </c>
    </row>
    <row r="303" spans="1:9" x14ac:dyDescent="0.35">
      <c r="A303" t="s">
        <v>1736</v>
      </c>
      <c r="B303" t="s">
        <v>1737</v>
      </c>
      <c r="C303">
        <v>2024</v>
      </c>
      <c r="D303">
        <v>16</v>
      </c>
      <c r="E303" t="s">
        <v>1738</v>
      </c>
      <c r="F303" t="s">
        <v>1739</v>
      </c>
      <c r="G303" t="s">
        <v>1105</v>
      </c>
      <c r="H303" t="s">
        <v>1740</v>
      </c>
      <c r="I303" t="s">
        <v>1741</v>
      </c>
    </row>
    <row r="304" spans="1:9" x14ac:dyDescent="0.35">
      <c r="A304" t="s">
        <v>1742</v>
      </c>
      <c r="B304" t="s">
        <v>1743</v>
      </c>
      <c r="C304">
        <v>2025</v>
      </c>
      <c r="D304">
        <v>50</v>
      </c>
      <c r="E304" t="s">
        <v>1738</v>
      </c>
      <c r="F304" t="s">
        <v>1744</v>
      </c>
      <c r="G304" t="s">
        <v>1745</v>
      </c>
      <c r="H304" t="s">
        <v>1746</v>
      </c>
      <c r="I304" t="s">
        <v>1747</v>
      </c>
    </row>
    <row r="305" spans="1:9" x14ac:dyDescent="0.35">
      <c r="A305" t="s">
        <v>1748</v>
      </c>
      <c r="B305" t="s">
        <v>1749</v>
      </c>
      <c r="C305">
        <v>2023</v>
      </c>
      <c r="D305">
        <v>16</v>
      </c>
      <c r="E305" t="s">
        <v>1738</v>
      </c>
      <c r="F305" t="s">
        <v>1750</v>
      </c>
      <c r="G305" t="s">
        <v>567</v>
      </c>
      <c r="H305" t="s">
        <v>1751</v>
      </c>
      <c r="I305" t="s">
        <v>1752</v>
      </c>
    </row>
    <row r="306" spans="1:9" x14ac:dyDescent="0.35">
      <c r="A306" t="s">
        <v>1753</v>
      </c>
      <c r="B306" t="s">
        <v>1754</v>
      </c>
      <c r="C306">
        <v>2023</v>
      </c>
      <c r="D306">
        <v>16</v>
      </c>
      <c r="E306" t="s">
        <v>1738</v>
      </c>
      <c r="F306" t="s">
        <v>1755</v>
      </c>
      <c r="G306" t="s">
        <v>1756</v>
      </c>
      <c r="H306" t="s">
        <v>1757</v>
      </c>
      <c r="I306" t="s">
        <v>1758</v>
      </c>
    </row>
    <row r="307" spans="1:9" x14ac:dyDescent="0.35">
      <c r="A307" t="s">
        <v>1759</v>
      </c>
      <c r="B307" t="s">
        <v>1760</v>
      </c>
      <c r="C307">
        <v>2023</v>
      </c>
      <c r="D307">
        <v>16</v>
      </c>
      <c r="E307" t="s">
        <v>1761</v>
      </c>
      <c r="F307" t="s">
        <v>1762</v>
      </c>
      <c r="G307" t="s">
        <v>1763</v>
      </c>
      <c r="H307" t="s">
        <v>1764</v>
      </c>
      <c r="I307" t="s">
        <v>1765</v>
      </c>
    </row>
    <row r="308" spans="1:9" x14ac:dyDescent="0.35">
      <c r="A308" t="s">
        <v>1766</v>
      </c>
      <c r="B308" t="s">
        <v>1767</v>
      </c>
      <c r="C308">
        <v>2024</v>
      </c>
      <c r="D308">
        <v>8</v>
      </c>
      <c r="E308" t="s">
        <v>1761</v>
      </c>
      <c r="F308" t="s">
        <v>1768</v>
      </c>
      <c r="G308" t="s">
        <v>1769</v>
      </c>
      <c r="H308" t="s">
        <v>1770</v>
      </c>
      <c r="I308" t="s">
        <v>1771</v>
      </c>
    </row>
    <row r="309" spans="1:9" x14ac:dyDescent="0.35">
      <c r="A309" t="s">
        <v>1772</v>
      </c>
      <c r="B309" t="s">
        <v>1773</v>
      </c>
      <c r="C309">
        <v>2023</v>
      </c>
      <c r="D309">
        <v>12</v>
      </c>
      <c r="E309" t="s">
        <v>1761</v>
      </c>
      <c r="F309" t="s">
        <v>1774</v>
      </c>
      <c r="G309" t="s">
        <v>284</v>
      </c>
      <c r="H309" t="s">
        <v>1775</v>
      </c>
      <c r="I309" t="s">
        <v>1776</v>
      </c>
    </row>
    <row r="310" spans="1:9" x14ac:dyDescent="0.35">
      <c r="A310" t="s">
        <v>1777</v>
      </c>
      <c r="B310" t="s">
        <v>1778</v>
      </c>
      <c r="C310">
        <v>2023</v>
      </c>
      <c r="D310">
        <v>12</v>
      </c>
      <c r="E310" t="s">
        <v>1761</v>
      </c>
      <c r="F310" t="s">
        <v>1779</v>
      </c>
      <c r="G310" t="s">
        <v>1780</v>
      </c>
      <c r="H310" t="s">
        <v>1781</v>
      </c>
      <c r="I310" t="s">
        <v>1782</v>
      </c>
    </row>
    <row r="311" spans="1:9" x14ac:dyDescent="0.35">
      <c r="A311" t="s">
        <v>1783</v>
      </c>
      <c r="B311" t="s">
        <v>1784</v>
      </c>
      <c r="C311">
        <v>2025</v>
      </c>
      <c r="D311">
        <v>10</v>
      </c>
      <c r="E311" t="s">
        <v>1785</v>
      </c>
      <c r="F311" t="s">
        <v>1786</v>
      </c>
      <c r="G311" t="s">
        <v>1787</v>
      </c>
      <c r="H311" t="s">
        <v>1788</v>
      </c>
      <c r="I311" t="s">
        <v>1789</v>
      </c>
    </row>
    <row r="312" spans="1:9" x14ac:dyDescent="0.35">
      <c r="A312" t="s">
        <v>1790</v>
      </c>
      <c r="B312" t="s">
        <v>1791</v>
      </c>
      <c r="C312">
        <v>2023</v>
      </c>
      <c r="D312">
        <v>12</v>
      </c>
      <c r="E312" t="s">
        <v>1785</v>
      </c>
      <c r="F312" t="s">
        <v>1792</v>
      </c>
      <c r="G312" t="s">
        <v>1793</v>
      </c>
      <c r="H312" t="s">
        <v>1794</v>
      </c>
      <c r="I312" t="s">
        <v>1795</v>
      </c>
    </row>
    <row r="313" spans="1:9" x14ac:dyDescent="0.35">
      <c r="A313" t="s">
        <v>1796</v>
      </c>
      <c r="B313" t="s">
        <v>1797</v>
      </c>
      <c r="C313">
        <v>2024</v>
      </c>
      <c r="D313">
        <v>16</v>
      </c>
      <c r="E313" t="s">
        <v>1785</v>
      </c>
      <c r="F313" t="s">
        <v>1798</v>
      </c>
      <c r="G313" t="s">
        <v>567</v>
      </c>
      <c r="H313" t="s">
        <v>1799</v>
      </c>
      <c r="I313" t="s">
        <v>1800</v>
      </c>
    </row>
    <row r="314" spans="1:9" x14ac:dyDescent="0.35">
      <c r="A314" t="s">
        <v>1801</v>
      </c>
      <c r="B314" t="s">
        <v>1802</v>
      </c>
      <c r="C314">
        <v>2023</v>
      </c>
      <c r="D314">
        <v>8</v>
      </c>
      <c r="E314" t="s">
        <v>1785</v>
      </c>
      <c r="F314" t="s">
        <v>1803</v>
      </c>
      <c r="G314" t="s">
        <v>1003</v>
      </c>
      <c r="H314" t="s">
        <v>1804</v>
      </c>
      <c r="I314" t="s">
        <v>1805</v>
      </c>
    </row>
    <row r="315" spans="1:9" x14ac:dyDescent="0.35">
      <c r="A315" t="s">
        <v>1806</v>
      </c>
      <c r="B315" t="s">
        <v>1807</v>
      </c>
      <c r="C315">
        <v>2024</v>
      </c>
      <c r="D315">
        <v>7</v>
      </c>
      <c r="E315" t="s">
        <v>1785</v>
      </c>
      <c r="F315" t="s">
        <v>1808</v>
      </c>
      <c r="G315" t="s">
        <v>1809</v>
      </c>
      <c r="H315" t="s">
        <v>1810</v>
      </c>
      <c r="I315" t="s">
        <v>1811</v>
      </c>
    </row>
    <row r="316" spans="1:9" x14ac:dyDescent="0.35">
      <c r="A316" t="s">
        <v>1812</v>
      </c>
      <c r="B316" t="s">
        <v>1813</v>
      </c>
      <c r="C316">
        <v>2023</v>
      </c>
      <c r="D316">
        <v>12</v>
      </c>
      <c r="E316" t="s">
        <v>1785</v>
      </c>
      <c r="F316" t="s">
        <v>1814</v>
      </c>
      <c r="G316" t="s">
        <v>1815</v>
      </c>
      <c r="H316" t="s">
        <v>1816</v>
      </c>
      <c r="I316" t="s">
        <v>1817</v>
      </c>
    </row>
    <row r="317" spans="1:9" x14ac:dyDescent="0.35">
      <c r="A317" t="s">
        <v>1818</v>
      </c>
      <c r="B317" t="s">
        <v>1819</v>
      </c>
      <c r="C317">
        <v>2024</v>
      </c>
      <c r="D317">
        <v>16</v>
      </c>
      <c r="E317" t="s">
        <v>1820</v>
      </c>
      <c r="F317" t="s">
        <v>1821</v>
      </c>
      <c r="G317" t="s">
        <v>1822</v>
      </c>
      <c r="H317" t="s">
        <v>1823</v>
      </c>
      <c r="I317" t="s">
        <v>1824</v>
      </c>
    </row>
    <row r="318" spans="1:9" x14ac:dyDescent="0.35">
      <c r="A318" t="s">
        <v>1825</v>
      </c>
      <c r="B318" t="s">
        <v>1826</v>
      </c>
      <c r="C318">
        <v>2024</v>
      </c>
      <c r="D318">
        <v>8</v>
      </c>
      <c r="E318" t="s">
        <v>1820</v>
      </c>
      <c r="F318" t="s">
        <v>1827</v>
      </c>
    </row>
    <row r="319" spans="1:9" x14ac:dyDescent="0.35">
      <c r="A319" t="s">
        <v>1828</v>
      </c>
      <c r="B319" t="s">
        <v>1829</v>
      </c>
      <c r="C319">
        <v>2023</v>
      </c>
      <c r="D319">
        <v>16</v>
      </c>
      <c r="E319" t="s">
        <v>1820</v>
      </c>
      <c r="F319" t="s">
        <v>1830</v>
      </c>
      <c r="G319" t="s">
        <v>1831</v>
      </c>
      <c r="H319" t="s">
        <v>1832</v>
      </c>
      <c r="I319" t="s">
        <v>1833</v>
      </c>
    </row>
    <row r="320" spans="1:9" x14ac:dyDescent="0.35">
      <c r="A320" t="s">
        <v>1834</v>
      </c>
      <c r="B320" t="s">
        <v>1835</v>
      </c>
      <c r="C320">
        <v>2024</v>
      </c>
      <c r="D320">
        <v>16</v>
      </c>
      <c r="E320" t="s">
        <v>1820</v>
      </c>
      <c r="F320" t="s">
        <v>1836</v>
      </c>
      <c r="G320" t="s">
        <v>1837</v>
      </c>
      <c r="H320" t="s">
        <v>1838</v>
      </c>
      <c r="I320" t="s">
        <v>1839</v>
      </c>
    </row>
    <row r="321" spans="1:9" x14ac:dyDescent="0.35">
      <c r="A321" t="s">
        <v>1840</v>
      </c>
      <c r="B321" t="s">
        <v>1841</v>
      </c>
      <c r="C321">
        <v>2024</v>
      </c>
      <c r="D321">
        <v>24</v>
      </c>
      <c r="E321" t="s">
        <v>1820</v>
      </c>
      <c r="F321" t="s">
        <v>1842</v>
      </c>
      <c r="G321" t="s">
        <v>1843</v>
      </c>
      <c r="H321" t="s">
        <v>1844</v>
      </c>
      <c r="I321" t="s">
        <v>1845</v>
      </c>
    </row>
    <row r="322" spans="1:9" x14ac:dyDescent="0.35">
      <c r="A322" t="s">
        <v>1846</v>
      </c>
      <c r="B322" t="s">
        <v>1847</v>
      </c>
      <c r="C322">
        <v>2025</v>
      </c>
      <c r="D322">
        <v>10</v>
      </c>
      <c r="E322" t="s">
        <v>1820</v>
      </c>
      <c r="F322" t="s">
        <v>1848</v>
      </c>
      <c r="G322" t="s">
        <v>1529</v>
      </c>
      <c r="H322" t="s">
        <v>1849</v>
      </c>
      <c r="I322" t="s">
        <v>1850</v>
      </c>
    </row>
    <row r="323" spans="1:9" x14ac:dyDescent="0.35">
      <c r="A323" t="s">
        <v>1851</v>
      </c>
      <c r="B323" t="s">
        <v>1852</v>
      </c>
      <c r="C323">
        <v>2023</v>
      </c>
      <c r="D323">
        <v>10</v>
      </c>
      <c r="E323" t="s">
        <v>1820</v>
      </c>
      <c r="F323" t="s">
        <v>1853</v>
      </c>
      <c r="G323" t="s">
        <v>1380</v>
      </c>
      <c r="H323" t="s">
        <v>1854</v>
      </c>
      <c r="I323" t="s">
        <v>1855</v>
      </c>
    </row>
    <row r="324" spans="1:9" x14ac:dyDescent="0.35">
      <c r="A324" t="s">
        <v>1856</v>
      </c>
      <c r="B324" t="s">
        <v>1857</v>
      </c>
      <c r="C324">
        <v>2023</v>
      </c>
      <c r="D324">
        <v>10</v>
      </c>
      <c r="E324" t="s">
        <v>1858</v>
      </c>
      <c r="F324" t="s">
        <v>1859</v>
      </c>
      <c r="G324" t="s">
        <v>1860</v>
      </c>
      <c r="H324" t="s">
        <v>1861</v>
      </c>
      <c r="I324" t="s">
        <v>1862</v>
      </c>
    </row>
    <row r="325" spans="1:9" x14ac:dyDescent="0.35">
      <c r="A325" t="s">
        <v>1863</v>
      </c>
      <c r="B325" t="s">
        <v>1864</v>
      </c>
      <c r="C325">
        <v>2024</v>
      </c>
      <c r="D325">
        <v>128</v>
      </c>
      <c r="E325" t="s">
        <v>1858</v>
      </c>
      <c r="F325" t="s">
        <v>1865</v>
      </c>
      <c r="G325" t="s">
        <v>1866</v>
      </c>
      <c r="H325" t="s">
        <v>1867</v>
      </c>
      <c r="I325" t="s">
        <v>1868</v>
      </c>
    </row>
    <row r="326" spans="1:9" x14ac:dyDescent="0.35">
      <c r="A326" t="s">
        <v>1869</v>
      </c>
      <c r="B326" t="s">
        <v>1870</v>
      </c>
      <c r="C326">
        <v>2023</v>
      </c>
      <c r="D326">
        <v>12</v>
      </c>
      <c r="E326" t="s">
        <v>1858</v>
      </c>
      <c r="F326" t="s">
        <v>1871</v>
      </c>
      <c r="G326" t="s">
        <v>1872</v>
      </c>
      <c r="H326" t="s">
        <v>1873</v>
      </c>
      <c r="I326" t="s">
        <v>1874</v>
      </c>
    </row>
    <row r="327" spans="1:9" x14ac:dyDescent="0.35">
      <c r="A327" t="s">
        <v>1875</v>
      </c>
      <c r="B327" t="s">
        <v>1876</v>
      </c>
      <c r="C327">
        <v>2024</v>
      </c>
      <c r="D327">
        <v>16</v>
      </c>
      <c r="E327" t="s">
        <v>1858</v>
      </c>
      <c r="F327" t="s">
        <v>1877</v>
      </c>
      <c r="G327" t="s">
        <v>1643</v>
      </c>
      <c r="H327" t="s">
        <v>1878</v>
      </c>
      <c r="I327" t="s">
        <v>1879</v>
      </c>
    </row>
    <row r="328" spans="1:9" x14ac:dyDescent="0.35">
      <c r="A328" t="s">
        <v>1880</v>
      </c>
      <c r="B328" t="s">
        <v>1881</v>
      </c>
      <c r="C328">
        <v>2024</v>
      </c>
      <c r="D328">
        <v>12</v>
      </c>
      <c r="E328" t="s">
        <v>1858</v>
      </c>
      <c r="F328" t="s">
        <v>1882</v>
      </c>
      <c r="G328" t="s">
        <v>567</v>
      </c>
      <c r="H328" t="s">
        <v>1883</v>
      </c>
      <c r="I328" t="s">
        <v>1884</v>
      </c>
    </row>
    <row r="329" spans="1:9" x14ac:dyDescent="0.35">
      <c r="A329" t="s">
        <v>1885</v>
      </c>
      <c r="B329" t="s">
        <v>1886</v>
      </c>
      <c r="C329">
        <v>2023</v>
      </c>
      <c r="D329">
        <v>12</v>
      </c>
      <c r="E329" t="s">
        <v>1858</v>
      </c>
      <c r="F329" t="s">
        <v>1887</v>
      </c>
      <c r="G329" t="s">
        <v>725</v>
      </c>
      <c r="H329" t="s">
        <v>1888</v>
      </c>
      <c r="I329" t="s">
        <v>1889</v>
      </c>
    </row>
    <row r="330" spans="1:9" x14ac:dyDescent="0.35">
      <c r="A330" t="s">
        <v>1890</v>
      </c>
      <c r="B330" t="s">
        <v>1891</v>
      </c>
      <c r="C330">
        <v>2024</v>
      </c>
      <c r="D330">
        <v>12</v>
      </c>
      <c r="E330" t="s">
        <v>1892</v>
      </c>
      <c r="F330" t="s">
        <v>1893</v>
      </c>
      <c r="G330" t="s">
        <v>1894</v>
      </c>
      <c r="H330" t="s">
        <v>1895</v>
      </c>
      <c r="I330" t="s">
        <v>1896</v>
      </c>
    </row>
    <row r="331" spans="1:9" x14ac:dyDescent="0.35">
      <c r="A331" t="s">
        <v>1897</v>
      </c>
      <c r="B331" t="s">
        <v>1898</v>
      </c>
      <c r="C331">
        <v>2025</v>
      </c>
      <c r="D331">
        <v>8</v>
      </c>
      <c r="E331" t="s">
        <v>1892</v>
      </c>
      <c r="F331" t="s">
        <v>1899</v>
      </c>
      <c r="G331" t="s">
        <v>1900</v>
      </c>
      <c r="H331" t="s">
        <v>1901</v>
      </c>
      <c r="I331" t="s">
        <v>1902</v>
      </c>
    </row>
    <row r="332" spans="1:9" x14ac:dyDescent="0.35">
      <c r="A332" t="s">
        <v>1903</v>
      </c>
      <c r="B332" t="s">
        <v>1904</v>
      </c>
      <c r="C332">
        <v>2024</v>
      </c>
      <c r="D332">
        <v>12</v>
      </c>
      <c r="E332" t="s">
        <v>1892</v>
      </c>
      <c r="F332" t="s">
        <v>1905</v>
      </c>
      <c r="G332" t="s">
        <v>409</v>
      </c>
      <c r="H332" t="s">
        <v>1906</v>
      </c>
      <c r="I332" t="s">
        <v>1907</v>
      </c>
    </row>
    <row r="333" spans="1:9" x14ac:dyDescent="0.35">
      <c r="A333" t="s">
        <v>1908</v>
      </c>
      <c r="B333" t="s">
        <v>1909</v>
      </c>
      <c r="C333">
        <v>2024</v>
      </c>
      <c r="D333">
        <v>6</v>
      </c>
      <c r="E333" t="s">
        <v>1892</v>
      </c>
      <c r="F333" t="s">
        <v>1910</v>
      </c>
      <c r="G333" t="s">
        <v>1551</v>
      </c>
      <c r="H333" t="s">
        <v>1911</v>
      </c>
      <c r="I333" t="s">
        <v>1912</v>
      </c>
    </row>
    <row r="334" spans="1:9" x14ac:dyDescent="0.35">
      <c r="A334" t="s">
        <v>1913</v>
      </c>
      <c r="B334" t="s">
        <v>1914</v>
      </c>
      <c r="C334">
        <v>2023</v>
      </c>
      <c r="D334">
        <v>16</v>
      </c>
      <c r="E334" t="s">
        <v>1892</v>
      </c>
      <c r="F334" t="s">
        <v>1915</v>
      </c>
      <c r="G334" t="s">
        <v>1916</v>
      </c>
      <c r="H334" t="s">
        <v>1917</v>
      </c>
      <c r="I334" t="s">
        <v>1918</v>
      </c>
    </row>
    <row r="335" spans="1:9" x14ac:dyDescent="0.35">
      <c r="A335" t="s">
        <v>1919</v>
      </c>
      <c r="B335" t="s">
        <v>1920</v>
      </c>
      <c r="C335">
        <v>2023</v>
      </c>
      <c r="D335">
        <v>16</v>
      </c>
      <c r="E335" t="s">
        <v>1921</v>
      </c>
      <c r="F335" t="s">
        <v>1922</v>
      </c>
      <c r="G335" t="s">
        <v>1308</v>
      </c>
      <c r="H335" t="s">
        <v>1923</v>
      </c>
      <c r="I335" t="s">
        <v>1924</v>
      </c>
    </row>
    <row r="336" spans="1:9" x14ac:dyDescent="0.35">
      <c r="A336" t="s">
        <v>1925</v>
      </c>
      <c r="B336" t="s">
        <v>1926</v>
      </c>
      <c r="C336">
        <v>2025</v>
      </c>
      <c r="D336">
        <v>12</v>
      </c>
      <c r="E336" t="s">
        <v>1921</v>
      </c>
      <c r="F336" t="s">
        <v>1927</v>
      </c>
      <c r="G336" t="s">
        <v>1928</v>
      </c>
      <c r="H336" t="s">
        <v>1929</v>
      </c>
      <c r="I336" t="s">
        <v>1930</v>
      </c>
    </row>
    <row r="337" spans="1:9" x14ac:dyDescent="0.35">
      <c r="A337" t="s">
        <v>1931</v>
      </c>
      <c r="B337" t="s">
        <v>1932</v>
      </c>
      <c r="C337">
        <v>2024</v>
      </c>
      <c r="D337">
        <v>6</v>
      </c>
      <c r="E337" t="s">
        <v>1921</v>
      </c>
      <c r="F337" t="s">
        <v>1933</v>
      </c>
      <c r="G337" t="s">
        <v>1934</v>
      </c>
      <c r="H337" t="s">
        <v>1935</v>
      </c>
      <c r="I337" t="s">
        <v>1936</v>
      </c>
    </row>
    <row r="338" spans="1:9" x14ac:dyDescent="0.35">
      <c r="A338" t="s">
        <v>1937</v>
      </c>
      <c r="B338" t="s">
        <v>1938</v>
      </c>
      <c r="C338">
        <v>2023</v>
      </c>
      <c r="D338">
        <v>50</v>
      </c>
      <c r="E338" t="s">
        <v>1921</v>
      </c>
      <c r="F338" t="s">
        <v>1939</v>
      </c>
      <c r="G338" t="s">
        <v>1093</v>
      </c>
      <c r="H338" t="s">
        <v>1940</v>
      </c>
      <c r="I338" t="s">
        <v>1941</v>
      </c>
    </row>
    <row r="339" spans="1:9" x14ac:dyDescent="0.35">
      <c r="A339" t="s">
        <v>1942</v>
      </c>
      <c r="B339" t="s">
        <v>1943</v>
      </c>
      <c r="C339">
        <v>2023</v>
      </c>
      <c r="D339">
        <v>16</v>
      </c>
      <c r="E339" t="s">
        <v>1944</v>
      </c>
      <c r="F339" t="s">
        <v>1945</v>
      </c>
      <c r="G339" t="s">
        <v>1946</v>
      </c>
      <c r="H339" t="s">
        <v>1947</v>
      </c>
      <c r="I339" t="s">
        <v>1948</v>
      </c>
    </row>
    <row r="340" spans="1:9" x14ac:dyDescent="0.35">
      <c r="A340" t="s">
        <v>1949</v>
      </c>
      <c r="B340" t="s">
        <v>1950</v>
      </c>
      <c r="C340">
        <v>2024</v>
      </c>
      <c r="D340">
        <v>16</v>
      </c>
      <c r="E340" t="s">
        <v>1944</v>
      </c>
      <c r="F340" t="s">
        <v>1951</v>
      </c>
      <c r="G340" t="s">
        <v>1308</v>
      </c>
      <c r="H340" t="s">
        <v>1952</v>
      </c>
      <c r="I340" t="s">
        <v>1953</v>
      </c>
    </row>
    <row r="341" spans="1:9" x14ac:dyDescent="0.35">
      <c r="A341" t="s">
        <v>1954</v>
      </c>
      <c r="B341" t="s">
        <v>1955</v>
      </c>
      <c r="C341">
        <v>2024</v>
      </c>
      <c r="D341">
        <v>50</v>
      </c>
      <c r="E341" t="s">
        <v>1944</v>
      </c>
      <c r="F341" t="s">
        <v>1956</v>
      </c>
      <c r="G341" t="s">
        <v>1957</v>
      </c>
      <c r="H341" t="s">
        <v>1958</v>
      </c>
      <c r="I341" t="s">
        <v>1959</v>
      </c>
    </row>
    <row r="342" spans="1:9" x14ac:dyDescent="0.35">
      <c r="A342" t="s">
        <v>1960</v>
      </c>
      <c r="B342" t="s">
        <v>1961</v>
      </c>
      <c r="C342">
        <v>2025</v>
      </c>
      <c r="D342">
        <v>12</v>
      </c>
      <c r="E342" t="s">
        <v>1944</v>
      </c>
      <c r="F342" t="s">
        <v>1962</v>
      </c>
      <c r="G342" t="s">
        <v>1963</v>
      </c>
      <c r="H342" t="s">
        <v>1964</v>
      </c>
      <c r="I342" t="s">
        <v>1965</v>
      </c>
    </row>
    <row r="343" spans="1:9" x14ac:dyDescent="0.35">
      <c r="A343" t="s">
        <v>1966</v>
      </c>
      <c r="B343" t="s">
        <v>1967</v>
      </c>
      <c r="C343">
        <v>2023</v>
      </c>
      <c r="D343">
        <v>12</v>
      </c>
      <c r="E343" t="s">
        <v>1944</v>
      </c>
      <c r="F343" t="s">
        <v>1968</v>
      </c>
      <c r="G343" t="s">
        <v>1969</v>
      </c>
      <c r="H343" t="s">
        <v>1970</v>
      </c>
      <c r="I343" t="s">
        <v>1971</v>
      </c>
    </row>
    <row r="344" spans="1:9" x14ac:dyDescent="0.35">
      <c r="A344" t="s">
        <v>1972</v>
      </c>
      <c r="B344" t="s">
        <v>1973</v>
      </c>
      <c r="C344">
        <v>2023</v>
      </c>
      <c r="D344">
        <v>12</v>
      </c>
      <c r="E344" t="s">
        <v>1944</v>
      </c>
      <c r="F344" t="s">
        <v>1974</v>
      </c>
      <c r="G344" t="s">
        <v>1975</v>
      </c>
      <c r="H344" t="s">
        <v>1976</v>
      </c>
      <c r="I344" t="s">
        <v>1977</v>
      </c>
    </row>
    <row r="345" spans="1:9" x14ac:dyDescent="0.35">
      <c r="A345" t="s">
        <v>1978</v>
      </c>
      <c r="B345" t="s">
        <v>1979</v>
      </c>
      <c r="C345">
        <v>2024</v>
      </c>
      <c r="D345">
        <v>16</v>
      </c>
      <c r="E345" t="s">
        <v>1980</v>
      </c>
      <c r="F345" t="s">
        <v>1981</v>
      </c>
      <c r="G345" t="s">
        <v>1569</v>
      </c>
      <c r="H345" t="s">
        <v>1982</v>
      </c>
      <c r="I345" t="s">
        <v>1983</v>
      </c>
    </row>
    <row r="346" spans="1:9" x14ac:dyDescent="0.35">
      <c r="A346" t="s">
        <v>1984</v>
      </c>
      <c r="B346" t="s">
        <v>1985</v>
      </c>
      <c r="C346">
        <v>2024</v>
      </c>
      <c r="D346">
        <v>7</v>
      </c>
      <c r="E346" t="s">
        <v>1986</v>
      </c>
      <c r="F346" t="s">
        <v>1987</v>
      </c>
    </row>
    <row r="347" spans="1:9" x14ac:dyDescent="0.35">
      <c r="A347" t="s">
        <v>1988</v>
      </c>
      <c r="B347" t="s">
        <v>1989</v>
      </c>
      <c r="C347">
        <v>2023</v>
      </c>
      <c r="D347">
        <v>10</v>
      </c>
      <c r="E347" t="s">
        <v>1986</v>
      </c>
      <c r="F347" t="s">
        <v>1990</v>
      </c>
      <c r="G347" t="s">
        <v>1569</v>
      </c>
      <c r="H347" t="s">
        <v>1991</v>
      </c>
      <c r="I347" t="s">
        <v>1992</v>
      </c>
    </row>
    <row r="348" spans="1:9" x14ac:dyDescent="0.35">
      <c r="A348" t="s">
        <v>1993</v>
      </c>
      <c r="B348" t="s">
        <v>1994</v>
      </c>
      <c r="C348">
        <v>2024</v>
      </c>
      <c r="D348">
        <v>16</v>
      </c>
      <c r="E348" t="s">
        <v>1986</v>
      </c>
      <c r="F348" t="s">
        <v>1995</v>
      </c>
      <c r="G348" t="s">
        <v>1996</v>
      </c>
      <c r="H348" t="s">
        <v>1997</v>
      </c>
      <c r="I348" t="s">
        <v>1998</v>
      </c>
    </row>
    <row r="349" spans="1:9" x14ac:dyDescent="0.35">
      <c r="A349" t="s">
        <v>1999</v>
      </c>
      <c r="B349" t="s">
        <v>2000</v>
      </c>
      <c r="C349">
        <v>2024</v>
      </c>
      <c r="D349">
        <v>10</v>
      </c>
      <c r="E349" t="s">
        <v>1986</v>
      </c>
      <c r="F349" t="s">
        <v>2001</v>
      </c>
      <c r="G349" t="s">
        <v>2002</v>
      </c>
      <c r="H349" t="s">
        <v>2003</v>
      </c>
      <c r="I349" t="s">
        <v>2004</v>
      </c>
    </row>
    <row r="350" spans="1:9" x14ac:dyDescent="0.35">
      <c r="A350" t="s">
        <v>2005</v>
      </c>
      <c r="B350" t="s">
        <v>2006</v>
      </c>
      <c r="C350">
        <v>2024</v>
      </c>
      <c r="D350">
        <v>124</v>
      </c>
      <c r="E350" t="s">
        <v>2007</v>
      </c>
      <c r="F350" t="s">
        <v>2008</v>
      </c>
      <c r="G350" t="s">
        <v>1093</v>
      </c>
      <c r="H350" t="s">
        <v>2009</v>
      </c>
      <c r="I350" t="s">
        <v>2010</v>
      </c>
    </row>
    <row r="351" spans="1:9" x14ac:dyDescent="0.35">
      <c r="A351" t="s">
        <v>2011</v>
      </c>
      <c r="B351" t="s">
        <v>2012</v>
      </c>
      <c r="C351">
        <v>2024</v>
      </c>
      <c r="D351">
        <v>12</v>
      </c>
      <c r="E351" t="s">
        <v>2013</v>
      </c>
      <c r="F351" t="s">
        <v>2014</v>
      </c>
      <c r="G351" t="s">
        <v>2015</v>
      </c>
      <c r="H351" t="s">
        <v>2016</v>
      </c>
      <c r="I351" t="s">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0F08-D056-48FE-AC53-BE834D6C5FFB}">
  <dimension ref="B1:S353"/>
  <sheetViews>
    <sheetView tabSelected="1" topLeftCell="A13" zoomScale="85" zoomScaleNormal="85" workbookViewId="0">
      <selection activeCell="G10" sqref="G10"/>
    </sheetView>
  </sheetViews>
  <sheetFormatPr defaultRowHeight="14.5" x14ac:dyDescent="0.35"/>
  <cols>
    <col min="2" max="2" width="19.08984375" bestFit="1" customWidth="1"/>
    <col min="3" max="3" width="11.7265625" customWidth="1"/>
    <col min="4" max="4" width="18.6328125" bestFit="1" customWidth="1"/>
    <col min="5" max="5" width="74" customWidth="1"/>
    <col min="7" max="7" width="14.7265625" customWidth="1"/>
    <col min="8" max="8" width="10.54296875" customWidth="1"/>
    <col min="9" max="9" width="14.7265625" customWidth="1"/>
    <col min="10" max="10" width="18.90625" customWidth="1"/>
    <col min="12" max="12" width="53.54296875" bestFit="1" customWidth="1"/>
    <col min="13" max="13" width="16" style="8" bestFit="1" customWidth="1"/>
    <col min="14" max="14" width="18.453125" style="8" bestFit="1" customWidth="1"/>
    <col min="15" max="15" width="8.7265625" style="21"/>
    <col min="16" max="16" width="255.6328125" bestFit="1" customWidth="1"/>
    <col min="17" max="17" width="61.7265625" bestFit="1" customWidth="1"/>
    <col min="18" max="19" width="255.6328125" bestFit="1" customWidth="1"/>
  </cols>
  <sheetData>
    <row r="1" spans="2:19" ht="15.5" x14ac:dyDescent="0.35">
      <c r="B1" s="17" t="s">
        <v>2190</v>
      </c>
      <c r="C1" s="17"/>
      <c r="D1" s="17"/>
      <c r="E1" s="17"/>
      <c r="O1" s="9"/>
    </row>
    <row r="2" spans="2:19" x14ac:dyDescent="0.35">
      <c r="O2" s="9"/>
    </row>
    <row r="3" spans="2:19" x14ac:dyDescent="0.35">
      <c r="B3" s="15" t="s">
        <v>2018</v>
      </c>
      <c r="C3" s="15"/>
      <c r="D3" s="15"/>
      <c r="E3" s="15"/>
      <c r="K3" s="2" t="s">
        <v>0</v>
      </c>
      <c r="L3" s="2" t="s">
        <v>1</v>
      </c>
      <c r="M3" s="2" t="s">
        <v>2</v>
      </c>
      <c r="N3" s="2" t="s">
        <v>3</v>
      </c>
      <c r="O3" s="2" t="s">
        <v>4</v>
      </c>
      <c r="P3" s="2" t="s">
        <v>5</v>
      </c>
      <c r="Q3" s="2" t="s">
        <v>6</v>
      </c>
      <c r="R3" s="2" t="s">
        <v>7</v>
      </c>
      <c r="S3" s="2" t="s">
        <v>8</v>
      </c>
    </row>
    <row r="4" spans="2:19" x14ac:dyDescent="0.35">
      <c r="B4" s="1" t="s">
        <v>2019</v>
      </c>
      <c r="C4" s="1" t="s">
        <v>4</v>
      </c>
      <c r="D4" s="1" t="s">
        <v>2020</v>
      </c>
      <c r="E4" s="1" t="s">
        <v>2021</v>
      </c>
      <c r="K4" s="2" t="s">
        <v>9</v>
      </c>
      <c r="L4" s="2" t="s">
        <v>10</v>
      </c>
      <c r="M4" s="4">
        <v>2021</v>
      </c>
      <c r="N4" s="4">
        <v>10</v>
      </c>
      <c r="O4" s="20">
        <v>9.1999999999999993</v>
      </c>
      <c r="P4" s="2" t="s">
        <v>2147</v>
      </c>
      <c r="Q4" s="2" t="s">
        <v>13</v>
      </c>
      <c r="R4" s="2" t="s">
        <v>14</v>
      </c>
      <c r="S4" s="2" t="s">
        <v>15</v>
      </c>
    </row>
    <row r="5" spans="2:19" x14ac:dyDescent="0.35">
      <c r="B5" s="19" t="s">
        <v>2044</v>
      </c>
      <c r="C5" s="19"/>
      <c r="D5" s="19"/>
      <c r="E5" s="19"/>
      <c r="K5" s="2" t="s">
        <v>16</v>
      </c>
      <c r="L5" s="2" t="s">
        <v>17</v>
      </c>
      <c r="M5" s="4">
        <v>2023</v>
      </c>
      <c r="N5" s="4">
        <v>16</v>
      </c>
      <c r="O5" s="20">
        <v>9.1999999999999993</v>
      </c>
      <c r="P5" s="2" t="s">
        <v>18</v>
      </c>
      <c r="Q5" s="2" t="s">
        <v>19</v>
      </c>
      <c r="R5" s="2" t="s">
        <v>20</v>
      </c>
      <c r="S5" s="2" t="s">
        <v>21</v>
      </c>
    </row>
    <row r="6" spans="2:19" x14ac:dyDescent="0.35">
      <c r="B6" s="2" t="s">
        <v>2022</v>
      </c>
      <c r="C6" s="3">
        <f>AVERAGE(O4:O353)</f>
        <v>8.3648571428571792</v>
      </c>
      <c r="D6" s="3">
        <f>AVERAGE(N4:N353)</f>
        <v>18.254285714285714</v>
      </c>
      <c r="E6" s="2" t="s">
        <v>2026</v>
      </c>
      <c r="K6" s="2" t="s">
        <v>22</v>
      </c>
      <c r="L6" s="2" t="s">
        <v>23</v>
      </c>
      <c r="M6" s="4">
        <v>2023</v>
      </c>
      <c r="N6" s="4">
        <v>20</v>
      </c>
      <c r="O6" s="20">
        <v>9.1</v>
      </c>
      <c r="P6" s="2" t="s">
        <v>25</v>
      </c>
      <c r="Q6" s="2" t="s">
        <v>26</v>
      </c>
      <c r="R6" s="2" t="s">
        <v>27</v>
      </c>
      <c r="S6" s="2" t="s">
        <v>28</v>
      </c>
    </row>
    <row r="7" spans="2:19" x14ac:dyDescent="0.35">
      <c r="B7" s="2" t="s">
        <v>2023</v>
      </c>
      <c r="C7" s="2">
        <f>MEDIAN(O4:O353)</f>
        <v>8.4</v>
      </c>
      <c r="D7" s="2">
        <f>MEDIAN(N4:N353)</f>
        <v>16</v>
      </c>
      <c r="E7" s="2" t="s">
        <v>2025</v>
      </c>
      <c r="K7" s="2" t="s">
        <v>29</v>
      </c>
      <c r="L7" s="2" t="s">
        <v>30</v>
      </c>
      <c r="M7" s="4">
        <v>2025</v>
      </c>
      <c r="N7" s="4">
        <v>8</v>
      </c>
      <c r="O7" s="20">
        <v>9.1</v>
      </c>
      <c r="P7" s="2" t="s">
        <v>2065</v>
      </c>
      <c r="Q7" s="2" t="s">
        <v>32</v>
      </c>
      <c r="R7" s="2" t="s">
        <v>33</v>
      </c>
      <c r="S7" s="2" t="s">
        <v>34</v>
      </c>
    </row>
    <row r="8" spans="2:19" x14ac:dyDescent="0.35">
      <c r="B8" s="2" t="s">
        <v>2024</v>
      </c>
      <c r="C8" s="2">
        <f>MODE(O4:O353)</f>
        <v>8.3000000000000007</v>
      </c>
      <c r="D8" s="2">
        <f>MODE(N4:N353)</f>
        <v>16</v>
      </c>
      <c r="E8" s="2" t="s">
        <v>2027</v>
      </c>
      <c r="K8" s="2" t="s">
        <v>35</v>
      </c>
      <c r="L8" s="2" t="s">
        <v>36</v>
      </c>
      <c r="M8" s="4">
        <v>2020</v>
      </c>
      <c r="N8" s="4">
        <v>16</v>
      </c>
      <c r="O8" s="20">
        <v>9.1</v>
      </c>
      <c r="P8" s="2" t="s">
        <v>2066</v>
      </c>
      <c r="Q8" s="2" t="s">
        <v>38</v>
      </c>
      <c r="R8" s="2" t="s">
        <v>39</v>
      </c>
      <c r="S8" s="2" t="s">
        <v>40</v>
      </c>
    </row>
    <row r="9" spans="2:19" x14ac:dyDescent="0.35">
      <c r="B9" s="19" t="s">
        <v>2043</v>
      </c>
      <c r="C9" s="19"/>
      <c r="D9" s="19"/>
      <c r="E9" s="19"/>
      <c r="K9" s="2" t="s">
        <v>41</v>
      </c>
      <c r="L9" s="2" t="s">
        <v>42</v>
      </c>
      <c r="M9" s="4">
        <v>2020</v>
      </c>
      <c r="N9" s="4">
        <v>12</v>
      </c>
      <c r="O9" s="20">
        <v>9.1</v>
      </c>
      <c r="P9" s="2" t="s">
        <v>43</v>
      </c>
      <c r="Q9" s="2" t="s">
        <v>44</v>
      </c>
      <c r="R9" s="2" t="s">
        <v>45</v>
      </c>
      <c r="S9" s="2" t="s">
        <v>46</v>
      </c>
    </row>
    <row r="10" spans="2:19" x14ac:dyDescent="0.35">
      <c r="B10" s="2" t="s">
        <v>2028</v>
      </c>
      <c r="C10" s="3">
        <f>MAX(O4:O353)</f>
        <v>9.1999999999999993</v>
      </c>
      <c r="D10" s="3">
        <f>MAX(N4:N353)</f>
        <v>133</v>
      </c>
      <c r="E10" s="2" t="s">
        <v>2055</v>
      </c>
      <c r="K10" s="2" t="s">
        <v>47</v>
      </c>
      <c r="L10" s="2" t="s">
        <v>48</v>
      </c>
      <c r="M10" s="4">
        <v>2021</v>
      </c>
      <c r="N10" s="4">
        <v>12</v>
      </c>
      <c r="O10" s="20">
        <v>9.1</v>
      </c>
      <c r="P10" s="2" t="s">
        <v>49</v>
      </c>
      <c r="Q10" s="2" t="s">
        <v>44</v>
      </c>
      <c r="R10" s="2" t="s">
        <v>50</v>
      </c>
      <c r="S10" s="2" t="s">
        <v>46</v>
      </c>
    </row>
    <row r="11" spans="2:19" x14ac:dyDescent="0.35">
      <c r="B11" s="2" t="s">
        <v>2029</v>
      </c>
      <c r="C11" s="3">
        <f>MIN(O4:O353)</f>
        <v>6.4</v>
      </c>
      <c r="D11" s="3">
        <f>MIN(N4:N353)</f>
        <v>1</v>
      </c>
      <c r="E11" s="2" t="s">
        <v>2056</v>
      </c>
      <c r="K11" s="2" t="s">
        <v>51</v>
      </c>
      <c r="L11" s="2" t="s">
        <v>52</v>
      </c>
      <c r="M11" s="4">
        <v>2018</v>
      </c>
      <c r="N11" s="4">
        <v>16</v>
      </c>
      <c r="O11" s="20">
        <v>9.1</v>
      </c>
      <c r="P11" s="2" t="s">
        <v>53</v>
      </c>
      <c r="Q11" s="2" t="s">
        <v>54</v>
      </c>
      <c r="R11" s="2" t="s">
        <v>55</v>
      </c>
      <c r="S11" s="2" t="s">
        <v>56</v>
      </c>
    </row>
    <row r="12" spans="2:19" x14ac:dyDescent="0.35">
      <c r="B12" s="2" t="s">
        <v>2031</v>
      </c>
      <c r="C12" s="2">
        <f>C10-C11</f>
        <v>2.7999999999999989</v>
      </c>
      <c r="D12" s="2">
        <f>D10-D11</f>
        <v>132</v>
      </c>
      <c r="E12" s="2" t="s">
        <v>2034</v>
      </c>
      <c r="K12" s="2" t="s">
        <v>57</v>
      </c>
      <c r="L12" s="2" t="s">
        <v>58</v>
      </c>
      <c r="M12" s="4">
        <v>2015</v>
      </c>
      <c r="N12" s="4">
        <v>20</v>
      </c>
      <c r="O12" s="20">
        <v>9.1</v>
      </c>
      <c r="P12" s="2" t="s">
        <v>59</v>
      </c>
      <c r="Q12" s="2" t="s">
        <v>60</v>
      </c>
      <c r="R12" s="2" t="s">
        <v>61</v>
      </c>
      <c r="S12" s="2" t="s">
        <v>62</v>
      </c>
    </row>
    <row r="13" spans="2:19" x14ac:dyDescent="0.35">
      <c r="B13" s="2" t="s">
        <v>2032</v>
      </c>
      <c r="C13" s="3">
        <f>_xlfn.VAR.S(O4:O353)</f>
        <v>0.20675571019238598</v>
      </c>
      <c r="D13" s="3">
        <f>_xlfn.VAR.S(N4:N353)</f>
        <v>212.16724519033974</v>
      </c>
      <c r="E13" s="2" t="s">
        <v>2036</v>
      </c>
      <c r="K13" s="2" t="s">
        <v>63</v>
      </c>
      <c r="L13" s="2" t="s">
        <v>64</v>
      </c>
      <c r="M13" s="4">
        <v>2022</v>
      </c>
      <c r="N13" s="4">
        <v>8</v>
      </c>
      <c r="O13" s="20">
        <v>9.1</v>
      </c>
      <c r="P13" s="2" t="s">
        <v>65</v>
      </c>
      <c r="Q13" s="2" t="s">
        <v>66</v>
      </c>
      <c r="R13" s="2" t="s">
        <v>67</v>
      </c>
      <c r="S13" s="2" t="s">
        <v>68</v>
      </c>
    </row>
    <row r="14" spans="2:19" x14ac:dyDescent="0.35">
      <c r="B14" s="2" t="s">
        <v>2030</v>
      </c>
      <c r="C14" s="3">
        <f>_xlfn.STDEV.S(O4:O353)</f>
        <v>0.45470398084070696</v>
      </c>
      <c r="D14" s="3">
        <f>_xlfn.STDEV.S(N4:N353)</f>
        <v>14.56596186972696</v>
      </c>
      <c r="E14" s="2" t="s">
        <v>2035</v>
      </c>
      <c r="K14" s="2" t="s">
        <v>69</v>
      </c>
      <c r="L14" s="2" t="s">
        <v>70</v>
      </c>
      <c r="M14" s="4">
        <v>2017</v>
      </c>
      <c r="N14" s="4">
        <v>16</v>
      </c>
      <c r="O14" s="20">
        <v>9.1</v>
      </c>
      <c r="P14" s="2" t="s">
        <v>71</v>
      </c>
      <c r="Q14" s="2" t="s">
        <v>72</v>
      </c>
      <c r="R14" s="2" t="s">
        <v>73</v>
      </c>
      <c r="S14" s="2" t="s">
        <v>74</v>
      </c>
    </row>
    <row r="15" spans="2:19" x14ac:dyDescent="0.35">
      <c r="B15" s="2" t="s">
        <v>2039</v>
      </c>
      <c r="C15" s="3">
        <f>_xlfn.QUARTILE.INC(O4:O353,1)</f>
        <v>8.3000000000000007</v>
      </c>
      <c r="D15" s="3">
        <f>_xlfn.QUARTILE.INC(N4:N353,1)</f>
        <v>12</v>
      </c>
      <c r="E15" s="2" t="s">
        <v>2037</v>
      </c>
      <c r="K15" s="2" t="s">
        <v>75</v>
      </c>
      <c r="L15" s="2" t="s">
        <v>76</v>
      </c>
      <c r="M15" s="4">
        <v>2024</v>
      </c>
      <c r="N15" s="4">
        <v>16</v>
      </c>
      <c r="O15" s="20">
        <v>9</v>
      </c>
      <c r="P15" s="2" t="s">
        <v>77</v>
      </c>
      <c r="Q15" s="2" t="s">
        <v>78</v>
      </c>
      <c r="R15" s="2" t="s">
        <v>79</v>
      </c>
      <c r="S15" s="2" t="s">
        <v>80</v>
      </c>
    </row>
    <row r="16" spans="2:19" x14ac:dyDescent="0.35">
      <c r="B16" s="2" t="s">
        <v>2040</v>
      </c>
      <c r="C16" s="3">
        <f>_xlfn.QUARTILE.INC(O5:O354,3)</f>
        <v>8.6</v>
      </c>
      <c r="D16" s="3">
        <f>_xlfn.QUARTILE.INC(N5:N354,3)</f>
        <v>16</v>
      </c>
      <c r="E16" s="2" t="s">
        <v>2038</v>
      </c>
      <c r="K16" s="2" t="s">
        <v>81</v>
      </c>
      <c r="L16" s="2" t="s">
        <v>82</v>
      </c>
      <c r="M16" s="4">
        <v>2022</v>
      </c>
      <c r="N16" s="4">
        <v>20</v>
      </c>
      <c r="O16" s="20">
        <v>9</v>
      </c>
      <c r="P16" s="2" t="s">
        <v>83</v>
      </c>
      <c r="Q16" s="2" t="s">
        <v>84</v>
      </c>
      <c r="R16" s="2" t="s">
        <v>85</v>
      </c>
      <c r="S16" s="2" t="s">
        <v>86</v>
      </c>
    </row>
    <row r="17" spans="2:19" x14ac:dyDescent="0.35">
      <c r="B17" s="2" t="s">
        <v>2033</v>
      </c>
      <c r="C17" s="3">
        <f>C16-C15</f>
        <v>0.29999999999999893</v>
      </c>
      <c r="D17" s="3">
        <f>D16-D15</f>
        <v>4</v>
      </c>
      <c r="E17" s="2" t="s">
        <v>2041</v>
      </c>
      <c r="K17" s="2" t="s">
        <v>87</v>
      </c>
      <c r="L17" s="2" t="s">
        <v>88</v>
      </c>
      <c r="M17" s="4">
        <v>2025</v>
      </c>
      <c r="N17" s="4">
        <v>10</v>
      </c>
      <c r="O17" s="20">
        <v>9</v>
      </c>
      <c r="P17" s="2" t="s">
        <v>89</v>
      </c>
      <c r="Q17" s="2" t="s">
        <v>90</v>
      </c>
      <c r="R17" s="2" t="s">
        <v>91</v>
      </c>
      <c r="S17" s="2" t="s">
        <v>92</v>
      </c>
    </row>
    <row r="18" spans="2:19" x14ac:dyDescent="0.35">
      <c r="B18" s="19" t="s">
        <v>2042</v>
      </c>
      <c r="C18" s="19"/>
      <c r="D18" s="19"/>
      <c r="E18" s="19"/>
      <c r="G18" t="s">
        <v>2052</v>
      </c>
      <c r="K18" s="2" t="s">
        <v>93</v>
      </c>
      <c r="L18" s="2" t="s">
        <v>94</v>
      </c>
      <c r="M18" s="4">
        <v>2022</v>
      </c>
      <c r="N18" s="4">
        <v>16</v>
      </c>
      <c r="O18" s="20">
        <v>9</v>
      </c>
      <c r="P18" s="2" t="s">
        <v>95</v>
      </c>
      <c r="Q18" s="2" t="s">
        <v>96</v>
      </c>
      <c r="R18" s="2" t="s">
        <v>97</v>
      </c>
      <c r="S18" s="2" t="s">
        <v>98</v>
      </c>
    </row>
    <row r="19" spans="2:19" x14ac:dyDescent="0.35">
      <c r="B19" s="2" t="s">
        <v>2045</v>
      </c>
      <c r="C19" s="3">
        <f>SKEW(O4:O353)</f>
        <v>-1.3141164287644502</v>
      </c>
      <c r="D19" s="3">
        <f>SKEW(N4:N353)</f>
        <v>4.9156684854179593</v>
      </c>
      <c r="E19" s="2" t="s">
        <v>2046</v>
      </c>
      <c r="K19" s="2" t="s">
        <v>99</v>
      </c>
      <c r="L19" s="2" t="s">
        <v>100</v>
      </c>
      <c r="M19" s="4">
        <v>2020</v>
      </c>
      <c r="N19" s="4">
        <v>20</v>
      </c>
      <c r="O19" s="20">
        <v>9</v>
      </c>
      <c r="P19" s="2" t="s">
        <v>2067</v>
      </c>
      <c r="Q19" s="2" t="s">
        <v>102</v>
      </c>
      <c r="R19" s="2" t="s">
        <v>103</v>
      </c>
      <c r="S19" s="2" t="s">
        <v>104</v>
      </c>
    </row>
    <row r="20" spans="2:19" ht="29" x14ac:dyDescent="0.35">
      <c r="B20" s="5" t="s">
        <v>2047</v>
      </c>
      <c r="C20" s="5" t="str">
        <f>IF(ABS(SKEW(O4:O353))&lt;0.5, "Symmetric", IF(SKEW(O4:O353)&gt;0, "Right Skewed","Left Skewed"))</f>
        <v>Left Skewed</v>
      </c>
      <c r="D20" s="5" t="str">
        <f>IF(ABS(SKEW(N4:N353))&lt;0.5, "Symmetric", IF(SKEW(N4:N353)&gt;0, "Right Skewed","Left Skewed"))</f>
        <v>Right Skewed</v>
      </c>
      <c r="E20" s="6" t="s">
        <v>2054</v>
      </c>
      <c r="K20" s="2" t="s">
        <v>105</v>
      </c>
      <c r="L20" s="2" t="s">
        <v>106</v>
      </c>
      <c r="M20" s="4">
        <v>2018</v>
      </c>
      <c r="N20" s="4">
        <v>16</v>
      </c>
      <c r="O20" s="20">
        <v>9</v>
      </c>
      <c r="P20" s="2" t="s">
        <v>107</v>
      </c>
      <c r="Q20" s="2" t="s">
        <v>108</v>
      </c>
      <c r="R20" s="2" t="s">
        <v>109</v>
      </c>
      <c r="S20" s="2" t="s">
        <v>110</v>
      </c>
    </row>
    <row r="21" spans="2:19" x14ac:dyDescent="0.35">
      <c r="B21" s="19" t="s">
        <v>2048</v>
      </c>
      <c r="C21" s="19"/>
      <c r="D21" s="19"/>
      <c r="E21" s="19"/>
      <c r="K21" s="2" t="s">
        <v>111</v>
      </c>
      <c r="L21" s="2" t="s">
        <v>112</v>
      </c>
      <c r="M21" s="4">
        <v>2020</v>
      </c>
      <c r="N21" s="4">
        <v>16</v>
      </c>
      <c r="O21" s="20">
        <v>9</v>
      </c>
      <c r="P21" s="2" t="s">
        <v>2068</v>
      </c>
      <c r="Q21" s="2" t="s">
        <v>114</v>
      </c>
      <c r="R21" s="2" t="s">
        <v>115</v>
      </c>
      <c r="S21" s="2" t="s">
        <v>116</v>
      </c>
    </row>
    <row r="22" spans="2:19" x14ac:dyDescent="0.35">
      <c r="B22" s="2" t="s">
        <v>2049</v>
      </c>
      <c r="C22" s="18">
        <f>CORREL(O4:O353,N4:N353)</f>
        <v>-7.5090851745418019E-2</v>
      </c>
      <c r="D22" s="18"/>
      <c r="E22" s="7" t="s">
        <v>2053</v>
      </c>
      <c r="K22" s="2" t="s">
        <v>117</v>
      </c>
      <c r="L22" s="2" t="s">
        <v>118</v>
      </c>
      <c r="M22" s="4">
        <v>2019</v>
      </c>
      <c r="N22" s="4">
        <v>16</v>
      </c>
      <c r="O22" s="20">
        <v>9</v>
      </c>
      <c r="P22" s="2" t="s">
        <v>119</v>
      </c>
      <c r="Q22" s="2" t="s">
        <v>120</v>
      </c>
      <c r="R22" s="2" t="s">
        <v>121</v>
      </c>
      <c r="S22" s="2" t="s">
        <v>122</v>
      </c>
    </row>
    <row r="23" spans="2:19" x14ac:dyDescent="0.35">
      <c r="B23" s="2" t="s">
        <v>2050</v>
      </c>
      <c r="C23" s="18">
        <f>_xlfn.COVARIANCE.S(O4:O353, N4:N353)</f>
        <v>-0.49734179287760805</v>
      </c>
      <c r="D23" s="18"/>
      <c r="E23" s="2" t="s">
        <v>2051</v>
      </c>
      <c r="K23" s="2" t="s">
        <v>123</v>
      </c>
      <c r="L23" s="2" t="s">
        <v>124</v>
      </c>
      <c r="M23" s="4">
        <v>2021</v>
      </c>
      <c r="N23" s="4">
        <v>20</v>
      </c>
      <c r="O23" s="20">
        <v>9</v>
      </c>
      <c r="P23" s="2" t="s">
        <v>125</v>
      </c>
      <c r="Q23" s="2" t="s">
        <v>126</v>
      </c>
      <c r="R23" s="2" t="s">
        <v>127</v>
      </c>
      <c r="S23" s="2" t="s">
        <v>128</v>
      </c>
    </row>
    <row r="24" spans="2:19" x14ac:dyDescent="0.35">
      <c r="K24" s="2" t="s">
        <v>129</v>
      </c>
      <c r="L24" s="2" t="s">
        <v>130</v>
      </c>
      <c r="M24" s="4">
        <v>2021</v>
      </c>
      <c r="N24" s="4">
        <v>12</v>
      </c>
      <c r="O24" s="20">
        <v>9</v>
      </c>
      <c r="P24" s="2" t="s">
        <v>131</v>
      </c>
      <c r="Q24" s="2" t="s">
        <v>132</v>
      </c>
      <c r="R24" s="2" t="s">
        <v>133</v>
      </c>
      <c r="S24" s="2" t="s">
        <v>134</v>
      </c>
    </row>
    <row r="25" spans="2:19" x14ac:dyDescent="0.35">
      <c r="B25" s="15" t="s">
        <v>2059</v>
      </c>
      <c r="C25" s="15"/>
      <c r="D25" s="15"/>
      <c r="E25" s="15"/>
      <c r="K25" s="2" t="s">
        <v>135</v>
      </c>
      <c r="L25" s="2" t="s">
        <v>136</v>
      </c>
      <c r="M25" s="4">
        <v>2016</v>
      </c>
      <c r="N25" s="4">
        <v>16</v>
      </c>
      <c r="O25" s="20">
        <v>9</v>
      </c>
      <c r="P25" s="2" t="s">
        <v>137</v>
      </c>
      <c r="Q25" s="2" t="s">
        <v>138</v>
      </c>
      <c r="R25" s="2" t="s">
        <v>139</v>
      </c>
      <c r="S25" s="2" t="s">
        <v>140</v>
      </c>
    </row>
    <row r="26" spans="2:19" x14ac:dyDescent="0.35">
      <c r="B26" s="2" t="s">
        <v>2060</v>
      </c>
      <c r="C26" s="11" t="s">
        <v>2184</v>
      </c>
      <c r="D26" s="11"/>
      <c r="E26" s="11"/>
      <c r="K26" s="2" t="s">
        <v>141</v>
      </c>
      <c r="L26" s="2" t="s">
        <v>142</v>
      </c>
      <c r="M26" s="4">
        <v>2018</v>
      </c>
      <c r="N26" s="4">
        <v>24</v>
      </c>
      <c r="O26" s="20">
        <v>8.9</v>
      </c>
      <c r="P26" s="2" t="s">
        <v>2069</v>
      </c>
      <c r="Q26" s="2" t="s">
        <v>145</v>
      </c>
      <c r="R26" s="2" t="s">
        <v>146</v>
      </c>
      <c r="S26" s="2" t="s">
        <v>147</v>
      </c>
    </row>
    <row r="27" spans="2:19" x14ac:dyDescent="0.35">
      <c r="B27" s="2" t="s">
        <v>2057</v>
      </c>
      <c r="C27" s="12" t="s">
        <v>2058</v>
      </c>
      <c r="D27" s="13"/>
      <c r="E27" s="14"/>
      <c r="K27" s="2" t="s">
        <v>148</v>
      </c>
      <c r="L27" s="2" t="s">
        <v>149</v>
      </c>
      <c r="M27" s="4">
        <v>2021</v>
      </c>
      <c r="N27" s="4">
        <v>12</v>
      </c>
      <c r="O27" s="20">
        <v>8.9</v>
      </c>
      <c r="P27" s="2" t="s">
        <v>150</v>
      </c>
      <c r="Q27" s="2" t="s">
        <v>151</v>
      </c>
      <c r="R27" s="2" t="s">
        <v>152</v>
      </c>
      <c r="S27" s="2" t="s">
        <v>153</v>
      </c>
    </row>
    <row r="28" spans="2:19" x14ac:dyDescent="0.35">
      <c r="B28" s="10" t="s">
        <v>2063</v>
      </c>
      <c r="C28" s="12" t="s">
        <v>2187</v>
      </c>
      <c r="D28" s="13"/>
      <c r="E28" s="14"/>
      <c r="K28" s="2" t="s">
        <v>154</v>
      </c>
      <c r="L28" s="2" t="s">
        <v>155</v>
      </c>
      <c r="M28" s="4">
        <v>2020</v>
      </c>
      <c r="N28" s="4">
        <v>6</v>
      </c>
      <c r="O28" s="20">
        <v>8.9</v>
      </c>
      <c r="P28" s="2" t="s">
        <v>156</v>
      </c>
      <c r="Q28" s="2" t="s">
        <v>157</v>
      </c>
      <c r="R28" s="2" t="s">
        <v>158</v>
      </c>
      <c r="S28" s="2" t="s">
        <v>159</v>
      </c>
    </row>
    <row r="29" spans="2:19" ht="30.5" customHeight="1" x14ac:dyDescent="0.35">
      <c r="B29" s="5" t="s">
        <v>2175</v>
      </c>
      <c r="C29" s="16" t="s">
        <v>2176</v>
      </c>
      <c r="D29" s="16"/>
      <c r="E29" s="16"/>
      <c r="K29" s="2" t="s">
        <v>160</v>
      </c>
      <c r="L29" s="2" t="s">
        <v>161</v>
      </c>
      <c r="M29" s="4">
        <v>2023</v>
      </c>
      <c r="N29" s="4">
        <v>14</v>
      </c>
      <c r="O29" s="20">
        <v>8.9</v>
      </c>
      <c r="P29" s="2" t="s">
        <v>162</v>
      </c>
      <c r="Q29" s="2" t="s">
        <v>163</v>
      </c>
      <c r="R29" s="2" t="s">
        <v>164</v>
      </c>
      <c r="S29" s="2" t="s">
        <v>165</v>
      </c>
    </row>
    <row r="30" spans="2:19" x14ac:dyDescent="0.35">
      <c r="B30" s="10" t="s">
        <v>2174</v>
      </c>
      <c r="C30" s="11" t="s">
        <v>2185</v>
      </c>
      <c r="D30" s="11"/>
      <c r="E30" s="11"/>
      <c r="K30" s="2" t="s">
        <v>166</v>
      </c>
      <c r="L30" s="2" t="s">
        <v>167</v>
      </c>
      <c r="M30" s="4">
        <v>2022</v>
      </c>
      <c r="N30" s="4">
        <v>8</v>
      </c>
      <c r="O30" s="20">
        <v>8.9</v>
      </c>
      <c r="P30" s="2" t="s">
        <v>168</v>
      </c>
      <c r="Q30" s="2" t="s">
        <v>169</v>
      </c>
      <c r="R30" s="2" t="s">
        <v>170</v>
      </c>
      <c r="S30" s="2" t="s">
        <v>171</v>
      </c>
    </row>
    <row r="31" spans="2:19" x14ac:dyDescent="0.35">
      <c r="B31" s="2" t="s">
        <v>2177</v>
      </c>
      <c r="C31" s="11" t="s">
        <v>2178</v>
      </c>
      <c r="D31" s="11"/>
      <c r="E31" s="11"/>
      <c r="K31" s="2" t="s">
        <v>172</v>
      </c>
      <c r="L31" s="2" t="s">
        <v>173</v>
      </c>
      <c r="M31" s="4">
        <v>2018</v>
      </c>
      <c r="N31" s="4">
        <v>20</v>
      </c>
      <c r="O31" s="20">
        <v>8.9</v>
      </c>
      <c r="P31" s="2" t="s">
        <v>174</v>
      </c>
      <c r="Q31" s="2" t="s">
        <v>175</v>
      </c>
      <c r="R31" s="2" t="s">
        <v>176</v>
      </c>
      <c r="S31" s="2" t="s">
        <v>177</v>
      </c>
    </row>
    <row r="32" spans="2:19" x14ac:dyDescent="0.35">
      <c r="K32" s="2" t="s">
        <v>178</v>
      </c>
      <c r="L32" s="2" t="s">
        <v>179</v>
      </c>
      <c r="M32" s="4">
        <v>2022</v>
      </c>
      <c r="N32" s="4">
        <v>16</v>
      </c>
      <c r="O32" s="20">
        <v>8.9</v>
      </c>
      <c r="P32" s="2" t="s">
        <v>180</v>
      </c>
      <c r="Q32" s="2" t="s">
        <v>181</v>
      </c>
      <c r="R32" s="2" t="s">
        <v>182</v>
      </c>
      <c r="S32" s="2" t="s">
        <v>183</v>
      </c>
    </row>
    <row r="33" spans="2:19" x14ac:dyDescent="0.35">
      <c r="B33" s="15" t="s">
        <v>2179</v>
      </c>
      <c r="C33" s="15"/>
      <c r="D33" s="15"/>
      <c r="E33" s="15"/>
      <c r="K33" s="2" t="s">
        <v>184</v>
      </c>
      <c r="L33" s="2" t="s">
        <v>185</v>
      </c>
      <c r="M33" s="4">
        <v>2014</v>
      </c>
      <c r="N33" s="4">
        <v>20</v>
      </c>
      <c r="O33" s="20">
        <v>8.9</v>
      </c>
      <c r="P33" s="2" t="s">
        <v>186</v>
      </c>
      <c r="Q33" s="2" t="s">
        <v>187</v>
      </c>
      <c r="R33" s="2" t="s">
        <v>188</v>
      </c>
      <c r="S33" s="2" t="s">
        <v>189</v>
      </c>
    </row>
    <row r="34" spans="2:19" x14ac:dyDescent="0.35">
      <c r="B34" s="2" t="s">
        <v>2180</v>
      </c>
      <c r="C34" s="11" t="s">
        <v>2188</v>
      </c>
      <c r="D34" s="11"/>
      <c r="E34" s="11"/>
      <c r="K34" s="2" t="s">
        <v>190</v>
      </c>
      <c r="L34" s="2" t="s">
        <v>191</v>
      </c>
      <c r="M34" s="4">
        <v>2017</v>
      </c>
      <c r="N34" s="4">
        <v>16</v>
      </c>
      <c r="O34" s="20">
        <v>8.9</v>
      </c>
      <c r="P34" s="2" t="s">
        <v>2070</v>
      </c>
      <c r="Q34" s="2" t="s">
        <v>193</v>
      </c>
      <c r="R34" s="2" t="s">
        <v>194</v>
      </c>
      <c r="S34" s="2" t="s">
        <v>195</v>
      </c>
    </row>
    <row r="35" spans="2:19" x14ac:dyDescent="0.35">
      <c r="B35" s="2" t="s">
        <v>2181</v>
      </c>
      <c r="C35" s="11" t="s">
        <v>2062</v>
      </c>
      <c r="D35" s="11"/>
      <c r="E35" s="11"/>
      <c r="K35" s="2" t="s">
        <v>196</v>
      </c>
      <c r="L35" s="2" t="s">
        <v>197</v>
      </c>
      <c r="M35" s="4">
        <v>2022</v>
      </c>
      <c r="N35" s="4">
        <v>16</v>
      </c>
      <c r="O35" s="20">
        <v>8.8000000000000007</v>
      </c>
      <c r="P35" s="2" t="s">
        <v>2071</v>
      </c>
      <c r="Q35" s="2" t="s">
        <v>200</v>
      </c>
      <c r="R35" s="2" t="s">
        <v>201</v>
      </c>
      <c r="S35" s="2" t="s">
        <v>202</v>
      </c>
    </row>
    <row r="36" spans="2:19" ht="30.5" customHeight="1" x14ac:dyDescent="0.35">
      <c r="B36" s="10" t="s">
        <v>2182</v>
      </c>
      <c r="C36" s="16" t="s">
        <v>2189</v>
      </c>
      <c r="D36" s="16"/>
      <c r="E36" s="16"/>
      <c r="K36" s="2" t="s">
        <v>203</v>
      </c>
      <c r="L36" s="2" t="s">
        <v>204</v>
      </c>
      <c r="M36" s="4">
        <v>2023</v>
      </c>
      <c r="N36" s="4">
        <v>12</v>
      </c>
      <c r="O36" s="20">
        <v>8.8000000000000007</v>
      </c>
      <c r="P36" s="2" t="s">
        <v>205</v>
      </c>
      <c r="Q36" s="2" t="s">
        <v>206</v>
      </c>
      <c r="R36" s="2" t="s">
        <v>207</v>
      </c>
      <c r="S36" s="2" t="s">
        <v>208</v>
      </c>
    </row>
    <row r="37" spans="2:19" x14ac:dyDescent="0.35">
      <c r="B37" s="2" t="s">
        <v>2183</v>
      </c>
      <c r="C37" s="11" t="s">
        <v>2173</v>
      </c>
      <c r="D37" s="11"/>
      <c r="E37" s="11"/>
      <c r="K37" s="2" t="s">
        <v>209</v>
      </c>
      <c r="L37" s="2" t="s">
        <v>210</v>
      </c>
      <c r="M37" s="4">
        <v>2021</v>
      </c>
      <c r="N37" s="4">
        <v>17</v>
      </c>
      <c r="O37" s="20">
        <v>8.8000000000000007</v>
      </c>
      <c r="P37" s="2" t="s">
        <v>2072</v>
      </c>
      <c r="Q37" s="2" t="s">
        <v>212</v>
      </c>
      <c r="R37" s="2" t="s">
        <v>213</v>
      </c>
      <c r="S37" s="2" t="s">
        <v>214</v>
      </c>
    </row>
    <row r="38" spans="2:19" x14ac:dyDescent="0.35">
      <c r="B38" s="2" t="s">
        <v>2186</v>
      </c>
      <c r="C38" s="11" t="s">
        <v>2064</v>
      </c>
      <c r="D38" s="11"/>
      <c r="E38" s="11"/>
      <c r="K38" s="2" t="s">
        <v>215</v>
      </c>
      <c r="L38" s="2" t="s">
        <v>216</v>
      </c>
      <c r="M38" s="4">
        <v>2016</v>
      </c>
      <c r="N38" s="4">
        <v>16</v>
      </c>
      <c r="O38" s="20">
        <v>8.8000000000000007</v>
      </c>
      <c r="P38" s="2" t="s">
        <v>217</v>
      </c>
      <c r="Q38" s="2" t="s">
        <v>218</v>
      </c>
      <c r="R38" s="2" t="s">
        <v>219</v>
      </c>
      <c r="S38" s="2" t="s">
        <v>220</v>
      </c>
    </row>
    <row r="39" spans="2:19" x14ac:dyDescent="0.35">
      <c r="K39" s="2" t="s">
        <v>221</v>
      </c>
      <c r="L39" s="2" t="s">
        <v>222</v>
      </c>
      <c r="M39" s="4">
        <v>2020</v>
      </c>
      <c r="N39" s="4">
        <v>16</v>
      </c>
      <c r="O39" s="20">
        <v>8.8000000000000007</v>
      </c>
      <c r="P39" s="2" t="s">
        <v>223</v>
      </c>
      <c r="Q39" s="2" t="s">
        <v>224</v>
      </c>
      <c r="R39" s="2" t="s">
        <v>225</v>
      </c>
      <c r="S39" s="2" t="s">
        <v>226</v>
      </c>
    </row>
    <row r="40" spans="2:19" x14ac:dyDescent="0.35">
      <c r="K40" s="2" t="s">
        <v>227</v>
      </c>
      <c r="L40" s="2" t="s">
        <v>228</v>
      </c>
      <c r="M40" s="4">
        <v>2021</v>
      </c>
      <c r="N40" s="4">
        <v>20</v>
      </c>
      <c r="O40" s="20">
        <v>8.6999999999999993</v>
      </c>
      <c r="P40" s="2" t="s">
        <v>2148</v>
      </c>
      <c r="Q40" s="2" t="s">
        <v>138</v>
      </c>
      <c r="R40" s="2" t="s">
        <v>231</v>
      </c>
      <c r="S40" s="2" t="s">
        <v>232</v>
      </c>
    </row>
    <row r="41" spans="2:19" x14ac:dyDescent="0.35">
      <c r="K41" s="2" t="s">
        <v>233</v>
      </c>
      <c r="L41" s="2" t="s">
        <v>234</v>
      </c>
      <c r="M41" s="4">
        <v>2019</v>
      </c>
      <c r="N41" s="4">
        <v>6</v>
      </c>
      <c r="O41" s="20">
        <v>8.8000000000000007</v>
      </c>
      <c r="P41" s="2" t="s">
        <v>235</v>
      </c>
      <c r="Q41" s="2" t="s">
        <v>236</v>
      </c>
      <c r="R41" s="2" t="s">
        <v>237</v>
      </c>
      <c r="S41" s="2" t="s">
        <v>238</v>
      </c>
    </row>
    <row r="42" spans="2:19" x14ac:dyDescent="0.35">
      <c r="K42" s="2" t="s">
        <v>239</v>
      </c>
      <c r="L42" s="2" t="s">
        <v>240</v>
      </c>
      <c r="M42" s="4">
        <v>2016</v>
      </c>
      <c r="N42" s="4">
        <v>16</v>
      </c>
      <c r="O42" s="20">
        <v>8.8000000000000007</v>
      </c>
      <c r="P42" s="2" t="s">
        <v>241</v>
      </c>
      <c r="Q42" s="2" t="s">
        <v>242</v>
      </c>
      <c r="R42" s="2" t="s">
        <v>243</v>
      </c>
      <c r="S42" s="2" t="s">
        <v>244</v>
      </c>
    </row>
    <row r="43" spans="2:19" x14ac:dyDescent="0.35">
      <c r="K43" s="2" t="s">
        <v>245</v>
      </c>
      <c r="L43" s="2" t="s">
        <v>246</v>
      </c>
      <c r="M43" s="4">
        <v>2021</v>
      </c>
      <c r="N43" s="4">
        <v>6</v>
      </c>
      <c r="O43" s="20">
        <v>8.8000000000000007</v>
      </c>
      <c r="P43" s="2" t="s">
        <v>247</v>
      </c>
      <c r="Q43" s="2" t="s">
        <v>248</v>
      </c>
      <c r="R43" s="2" t="s">
        <v>249</v>
      </c>
      <c r="S43" s="2" t="s">
        <v>250</v>
      </c>
    </row>
    <row r="44" spans="2:19" x14ac:dyDescent="0.35">
      <c r="K44" s="2" t="s">
        <v>251</v>
      </c>
      <c r="L44" s="2" t="s">
        <v>252</v>
      </c>
      <c r="M44" s="4">
        <v>2021</v>
      </c>
      <c r="N44" s="4">
        <v>16</v>
      </c>
      <c r="O44" s="20">
        <v>8.8000000000000007</v>
      </c>
      <c r="P44" s="2" t="s">
        <v>253</v>
      </c>
      <c r="Q44" s="2" t="s">
        <v>254</v>
      </c>
      <c r="R44" s="2" t="s">
        <v>255</v>
      </c>
      <c r="S44" s="2" t="s">
        <v>256</v>
      </c>
    </row>
    <row r="45" spans="2:19" x14ac:dyDescent="0.35">
      <c r="K45" s="2" t="s">
        <v>257</v>
      </c>
      <c r="L45" s="2" t="s">
        <v>258</v>
      </c>
      <c r="M45" s="4">
        <v>2020</v>
      </c>
      <c r="N45" s="4">
        <v>21</v>
      </c>
      <c r="O45" s="20">
        <v>8.8000000000000007</v>
      </c>
      <c r="P45" s="2" t="s">
        <v>2073</v>
      </c>
      <c r="Q45" s="2" t="s">
        <v>260</v>
      </c>
      <c r="R45" s="2" t="s">
        <v>261</v>
      </c>
      <c r="S45" s="2" t="s">
        <v>262</v>
      </c>
    </row>
    <row r="46" spans="2:19" x14ac:dyDescent="0.35">
      <c r="K46" s="2" t="s">
        <v>263</v>
      </c>
      <c r="L46" s="2" t="s">
        <v>264</v>
      </c>
      <c r="M46" s="4">
        <v>2021</v>
      </c>
      <c r="N46" s="4">
        <v>12</v>
      </c>
      <c r="O46" s="20">
        <v>8.8000000000000007</v>
      </c>
      <c r="P46" s="2" t="s">
        <v>265</v>
      </c>
      <c r="Q46" s="2" t="s">
        <v>266</v>
      </c>
      <c r="R46" s="2" t="s">
        <v>267</v>
      </c>
      <c r="S46" s="2" t="s">
        <v>268</v>
      </c>
    </row>
    <row r="47" spans="2:19" x14ac:dyDescent="0.35">
      <c r="K47" s="2" t="s">
        <v>269</v>
      </c>
      <c r="L47" s="2" t="s">
        <v>270</v>
      </c>
      <c r="M47" s="4">
        <v>2021</v>
      </c>
      <c r="N47" s="4">
        <v>16</v>
      </c>
      <c r="O47" s="20">
        <v>8.8000000000000007</v>
      </c>
      <c r="P47" s="2" t="s">
        <v>2074</v>
      </c>
      <c r="Q47" s="2" t="s">
        <v>272</v>
      </c>
      <c r="R47" s="2" t="s">
        <v>273</v>
      </c>
      <c r="S47" s="2" t="s">
        <v>274</v>
      </c>
    </row>
    <row r="48" spans="2:19" x14ac:dyDescent="0.35">
      <c r="K48" s="2" t="s">
        <v>275</v>
      </c>
      <c r="L48" s="2" t="s">
        <v>276</v>
      </c>
      <c r="M48" s="4">
        <v>2018</v>
      </c>
      <c r="N48" s="4">
        <v>16</v>
      </c>
      <c r="O48" s="20">
        <v>8.8000000000000007</v>
      </c>
      <c r="P48" s="2" t="s">
        <v>277</v>
      </c>
      <c r="Q48" s="2" t="s">
        <v>278</v>
      </c>
      <c r="R48" s="2" t="s">
        <v>279</v>
      </c>
      <c r="S48" s="2" t="s">
        <v>280</v>
      </c>
    </row>
    <row r="49" spans="11:19" x14ac:dyDescent="0.35">
      <c r="K49" s="2" t="s">
        <v>281</v>
      </c>
      <c r="L49" s="2" t="s">
        <v>282</v>
      </c>
      <c r="M49" s="4">
        <v>2024</v>
      </c>
      <c r="N49" s="4">
        <v>8</v>
      </c>
      <c r="O49" s="20">
        <v>8.8000000000000007</v>
      </c>
      <c r="P49" s="2" t="s">
        <v>2149</v>
      </c>
      <c r="Q49" s="2" t="s">
        <v>284</v>
      </c>
      <c r="R49" s="2" t="s">
        <v>285</v>
      </c>
      <c r="S49" s="2" t="s">
        <v>286</v>
      </c>
    </row>
    <row r="50" spans="11:19" x14ac:dyDescent="0.35">
      <c r="K50" s="2" t="s">
        <v>287</v>
      </c>
      <c r="L50" s="2" t="s">
        <v>288</v>
      </c>
      <c r="M50" s="4">
        <v>2021</v>
      </c>
      <c r="N50" s="4">
        <v>16</v>
      </c>
      <c r="O50" s="20">
        <v>8.8000000000000007</v>
      </c>
      <c r="P50" s="2" t="s">
        <v>289</v>
      </c>
      <c r="Q50" s="2" t="s">
        <v>290</v>
      </c>
      <c r="R50" s="2" t="s">
        <v>291</v>
      </c>
      <c r="S50" s="2" t="s">
        <v>292</v>
      </c>
    </row>
    <row r="51" spans="11:19" x14ac:dyDescent="0.35">
      <c r="K51" s="2" t="s">
        <v>293</v>
      </c>
      <c r="L51" s="2" t="s">
        <v>294</v>
      </c>
      <c r="M51" s="4">
        <v>2021</v>
      </c>
      <c r="N51" s="4">
        <v>16</v>
      </c>
      <c r="O51" s="20">
        <v>8.8000000000000007</v>
      </c>
      <c r="P51" s="2" t="s">
        <v>295</v>
      </c>
      <c r="Q51" s="2" t="s">
        <v>296</v>
      </c>
      <c r="R51" s="2" t="s">
        <v>297</v>
      </c>
      <c r="S51" s="2" t="s">
        <v>298</v>
      </c>
    </row>
    <row r="52" spans="11:19" x14ac:dyDescent="0.35">
      <c r="K52" s="2" t="s">
        <v>299</v>
      </c>
      <c r="L52" s="2" t="s">
        <v>300</v>
      </c>
      <c r="M52" s="4">
        <v>2021</v>
      </c>
      <c r="N52" s="4">
        <v>16</v>
      </c>
      <c r="O52" s="20">
        <v>8.8000000000000007</v>
      </c>
      <c r="P52" s="2" t="s">
        <v>301</v>
      </c>
      <c r="Q52" s="2" t="s">
        <v>302</v>
      </c>
      <c r="R52" s="2" t="s">
        <v>303</v>
      </c>
      <c r="S52" s="2" t="s">
        <v>304</v>
      </c>
    </row>
    <row r="53" spans="11:19" x14ac:dyDescent="0.35">
      <c r="K53" s="2" t="s">
        <v>305</v>
      </c>
      <c r="L53" s="2" t="s">
        <v>306</v>
      </c>
      <c r="M53" s="4">
        <v>2015</v>
      </c>
      <c r="N53" s="4">
        <v>50</v>
      </c>
      <c r="O53" s="20">
        <v>8.8000000000000007</v>
      </c>
      <c r="P53" s="2" t="s">
        <v>307</v>
      </c>
      <c r="Q53" s="2" t="s">
        <v>308</v>
      </c>
      <c r="R53" s="2" t="s">
        <v>309</v>
      </c>
      <c r="S53" s="2" t="s">
        <v>310</v>
      </c>
    </row>
    <row r="54" spans="11:19" x14ac:dyDescent="0.35">
      <c r="K54" s="2" t="s">
        <v>311</v>
      </c>
      <c r="L54" s="2" t="s">
        <v>312</v>
      </c>
      <c r="M54" s="4">
        <v>2021</v>
      </c>
      <c r="N54" s="4">
        <v>13</v>
      </c>
      <c r="O54" s="20">
        <v>8.8000000000000007</v>
      </c>
      <c r="P54" s="2" t="s">
        <v>313</v>
      </c>
      <c r="Q54" s="2" t="s">
        <v>260</v>
      </c>
      <c r="R54" s="2" t="s">
        <v>314</v>
      </c>
      <c r="S54" s="2" t="s">
        <v>315</v>
      </c>
    </row>
    <row r="55" spans="11:19" x14ac:dyDescent="0.35">
      <c r="K55" s="2" t="s">
        <v>316</v>
      </c>
      <c r="L55" s="2" t="s">
        <v>317</v>
      </c>
      <c r="M55" s="4">
        <v>2021</v>
      </c>
      <c r="N55" s="4">
        <v>16</v>
      </c>
      <c r="O55" s="20">
        <v>8.6999999999999993</v>
      </c>
      <c r="P55" s="2" t="s">
        <v>318</v>
      </c>
      <c r="Q55" s="2" t="s">
        <v>319</v>
      </c>
      <c r="R55" s="2" t="s">
        <v>320</v>
      </c>
      <c r="S55" s="2" t="s">
        <v>321</v>
      </c>
    </row>
    <row r="56" spans="11:19" x14ac:dyDescent="0.35">
      <c r="K56" s="2" t="s">
        <v>322</v>
      </c>
      <c r="L56" s="2" t="s">
        <v>323</v>
      </c>
      <c r="M56" s="4">
        <v>2018</v>
      </c>
      <c r="N56" s="4">
        <v>16</v>
      </c>
      <c r="O56" s="20">
        <v>8.8000000000000007</v>
      </c>
      <c r="P56" s="2" t="s">
        <v>324</v>
      </c>
      <c r="Q56" s="2" t="s">
        <v>2061</v>
      </c>
      <c r="R56" s="2" t="s">
        <v>2061</v>
      </c>
      <c r="S56" s="2" t="s">
        <v>2061</v>
      </c>
    </row>
    <row r="57" spans="11:19" x14ac:dyDescent="0.35">
      <c r="K57" s="2" t="s">
        <v>325</v>
      </c>
      <c r="L57" s="2" t="s">
        <v>326</v>
      </c>
      <c r="M57" s="4">
        <v>2016</v>
      </c>
      <c r="N57" s="4">
        <v>16</v>
      </c>
      <c r="O57" s="20">
        <v>8.6999999999999993</v>
      </c>
      <c r="P57" s="2" t="s">
        <v>327</v>
      </c>
      <c r="Q57" s="2" t="s">
        <v>328</v>
      </c>
      <c r="R57" s="2" t="s">
        <v>329</v>
      </c>
      <c r="S57" s="2" t="s">
        <v>330</v>
      </c>
    </row>
    <row r="58" spans="11:19" x14ac:dyDescent="0.35">
      <c r="K58" s="2" t="s">
        <v>331</v>
      </c>
      <c r="L58" s="2" t="s">
        <v>332</v>
      </c>
      <c r="M58" s="4">
        <v>2017</v>
      </c>
      <c r="N58" s="4">
        <v>32</v>
      </c>
      <c r="O58" s="20">
        <v>8.6999999999999993</v>
      </c>
      <c r="P58" s="2" t="s">
        <v>333</v>
      </c>
      <c r="Q58" s="2" t="s">
        <v>334</v>
      </c>
      <c r="R58" s="2" t="s">
        <v>335</v>
      </c>
      <c r="S58" s="2" t="s">
        <v>336</v>
      </c>
    </row>
    <row r="59" spans="11:19" x14ac:dyDescent="0.35">
      <c r="K59" s="2" t="s">
        <v>337</v>
      </c>
      <c r="L59" s="2" t="s">
        <v>338</v>
      </c>
      <c r="M59" s="4">
        <v>2017</v>
      </c>
      <c r="N59" s="4">
        <v>16</v>
      </c>
      <c r="O59" s="20">
        <v>8.6999999999999993</v>
      </c>
      <c r="P59" s="2" t="s">
        <v>339</v>
      </c>
      <c r="Q59" s="2" t="s">
        <v>340</v>
      </c>
      <c r="R59" s="2" t="s">
        <v>341</v>
      </c>
      <c r="S59" s="2" t="s">
        <v>342</v>
      </c>
    </row>
    <row r="60" spans="11:19" x14ac:dyDescent="0.35">
      <c r="K60" s="2" t="s">
        <v>343</v>
      </c>
      <c r="L60" s="2" t="s">
        <v>344</v>
      </c>
      <c r="M60" s="4">
        <v>2020</v>
      </c>
      <c r="N60" s="4">
        <v>16</v>
      </c>
      <c r="O60" s="20">
        <v>8.6999999999999993</v>
      </c>
      <c r="P60" s="2" t="s">
        <v>2075</v>
      </c>
      <c r="Q60" s="2" t="s">
        <v>346</v>
      </c>
      <c r="R60" s="2" t="s">
        <v>347</v>
      </c>
      <c r="S60" s="2" t="s">
        <v>348</v>
      </c>
    </row>
    <row r="61" spans="11:19" x14ac:dyDescent="0.35">
      <c r="K61" s="2" t="s">
        <v>349</v>
      </c>
      <c r="L61" s="2" t="s">
        <v>350</v>
      </c>
      <c r="M61" s="4">
        <v>2024</v>
      </c>
      <c r="N61" s="4">
        <v>16</v>
      </c>
      <c r="O61" s="20">
        <v>8.6999999999999993</v>
      </c>
      <c r="P61" s="2" t="s">
        <v>2076</v>
      </c>
      <c r="Q61" s="2" t="s">
        <v>352</v>
      </c>
      <c r="R61" s="2" t="s">
        <v>353</v>
      </c>
      <c r="S61" s="2" t="s">
        <v>354</v>
      </c>
    </row>
    <row r="62" spans="11:19" x14ac:dyDescent="0.35">
      <c r="K62" s="2" t="s">
        <v>355</v>
      </c>
      <c r="L62" s="2" t="s">
        <v>356</v>
      </c>
      <c r="M62" s="4">
        <v>2019</v>
      </c>
      <c r="N62" s="4">
        <v>6</v>
      </c>
      <c r="O62" s="20">
        <v>8.6999999999999993</v>
      </c>
      <c r="P62" s="2" t="s">
        <v>357</v>
      </c>
      <c r="Q62" s="2" t="s">
        <v>358</v>
      </c>
      <c r="R62" s="2" t="s">
        <v>359</v>
      </c>
      <c r="S62" s="2" t="s">
        <v>360</v>
      </c>
    </row>
    <row r="63" spans="11:19" x14ac:dyDescent="0.35">
      <c r="K63" s="2" t="s">
        <v>361</v>
      </c>
      <c r="L63" s="2" t="s">
        <v>362</v>
      </c>
      <c r="M63" s="4">
        <v>2019</v>
      </c>
      <c r="N63" s="4">
        <v>6</v>
      </c>
      <c r="O63" s="20">
        <v>8.6999999999999993</v>
      </c>
      <c r="P63" s="2" t="s">
        <v>363</v>
      </c>
      <c r="Q63" s="2" t="s">
        <v>358</v>
      </c>
      <c r="R63" s="2" t="s">
        <v>364</v>
      </c>
      <c r="S63" s="2" t="s">
        <v>365</v>
      </c>
    </row>
    <row r="64" spans="11:19" x14ac:dyDescent="0.35">
      <c r="K64" s="2" t="s">
        <v>366</v>
      </c>
      <c r="L64" s="2" t="s">
        <v>367</v>
      </c>
      <c r="M64" s="4">
        <v>2022</v>
      </c>
      <c r="N64" s="4">
        <v>12</v>
      </c>
      <c r="O64" s="20">
        <v>8.6999999999999993</v>
      </c>
      <c r="P64" s="2" t="s">
        <v>2077</v>
      </c>
      <c r="Q64" s="2" t="s">
        <v>369</v>
      </c>
      <c r="R64" s="2" t="s">
        <v>370</v>
      </c>
      <c r="S64" s="2" t="s">
        <v>371</v>
      </c>
    </row>
    <row r="65" spans="11:19" x14ac:dyDescent="0.35">
      <c r="K65" s="2" t="s">
        <v>372</v>
      </c>
      <c r="L65" s="2" t="s">
        <v>373</v>
      </c>
      <c r="M65" s="4">
        <v>2020</v>
      </c>
      <c r="N65" s="4">
        <v>16</v>
      </c>
      <c r="O65" s="20">
        <v>8.6999999999999993</v>
      </c>
      <c r="P65" s="2" t="s">
        <v>2150</v>
      </c>
      <c r="Q65" s="2" t="s">
        <v>375</v>
      </c>
      <c r="R65" s="2" t="s">
        <v>376</v>
      </c>
      <c r="S65" s="2" t="s">
        <v>377</v>
      </c>
    </row>
    <row r="66" spans="11:19" x14ac:dyDescent="0.35">
      <c r="K66" s="2" t="s">
        <v>378</v>
      </c>
      <c r="L66" s="2" t="s">
        <v>379</v>
      </c>
      <c r="M66" s="4">
        <v>2017</v>
      </c>
      <c r="N66" s="4">
        <v>18</v>
      </c>
      <c r="O66" s="20">
        <v>8.6999999999999993</v>
      </c>
      <c r="P66" s="2" t="s">
        <v>2078</v>
      </c>
      <c r="Q66" s="2" t="s">
        <v>193</v>
      </c>
      <c r="R66" s="2" t="s">
        <v>381</v>
      </c>
      <c r="S66" s="2" t="s">
        <v>382</v>
      </c>
    </row>
    <row r="67" spans="11:19" x14ac:dyDescent="0.35">
      <c r="K67" s="2" t="s">
        <v>383</v>
      </c>
      <c r="L67" s="2" t="s">
        <v>384</v>
      </c>
      <c r="M67" s="4">
        <v>2022</v>
      </c>
      <c r="N67" s="4">
        <v>20</v>
      </c>
      <c r="O67" s="20">
        <v>8.6999999999999993</v>
      </c>
      <c r="P67" s="2" t="s">
        <v>385</v>
      </c>
      <c r="Q67" s="2" t="s">
        <v>386</v>
      </c>
      <c r="R67" s="2" t="s">
        <v>387</v>
      </c>
      <c r="S67" s="2" t="s">
        <v>388</v>
      </c>
    </row>
    <row r="68" spans="11:19" x14ac:dyDescent="0.35">
      <c r="K68" s="2" t="s">
        <v>389</v>
      </c>
      <c r="L68" s="2" t="s">
        <v>390</v>
      </c>
      <c r="M68" s="4">
        <v>2020</v>
      </c>
      <c r="N68" s="4">
        <v>10</v>
      </c>
      <c r="O68" s="20">
        <v>8.6999999999999993</v>
      </c>
      <c r="P68" s="2" t="s">
        <v>391</v>
      </c>
      <c r="Q68" s="2" t="s">
        <v>392</v>
      </c>
      <c r="R68" s="2" t="s">
        <v>393</v>
      </c>
      <c r="S68" s="2" t="s">
        <v>394</v>
      </c>
    </row>
    <row r="69" spans="11:19" x14ac:dyDescent="0.35">
      <c r="K69" s="2" t="s">
        <v>395</v>
      </c>
      <c r="L69" s="2" t="s">
        <v>396</v>
      </c>
      <c r="M69" s="4">
        <v>2015</v>
      </c>
      <c r="N69" s="4">
        <v>20</v>
      </c>
      <c r="O69" s="20">
        <v>8.6999999999999993</v>
      </c>
      <c r="P69" s="2" t="s">
        <v>2079</v>
      </c>
      <c r="Q69" s="2" t="s">
        <v>114</v>
      </c>
      <c r="R69" s="2" t="s">
        <v>398</v>
      </c>
      <c r="S69" s="2" t="s">
        <v>399</v>
      </c>
    </row>
    <row r="70" spans="11:19" x14ac:dyDescent="0.35">
      <c r="K70" s="2" t="s">
        <v>400</v>
      </c>
      <c r="L70" s="2" t="s">
        <v>401</v>
      </c>
      <c r="M70" s="4">
        <v>2016</v>
      </c>
      <c r="N70" s="4">
        <v>20</v>
      </c>
      <c r="O70" s="20">
        <v>8.6999999999999993</v>
      </c>
      <c r="P70" s="2" t="s">
        <v>402</v>
      </c>
      <c r="Q70" s="2" t="s">
        <v>403</v>
      </c>
      <c r="R70" s="2" t="s">
        <v>404</v>
      </c>
      <c r="S70" s="2" t="s">
        <v>405</v>
      </c>
    </row>
    <row r="71" spans="11:19" x14ac:dyDescent="0.35">
      <c r="K71" s="2" t="s">
        <v>406</v>
      </c>
      <c r="L71" s="2" t="s">
        <v>407</v>
      </c>
      <c r="M71" s="4">
        <v>2022</v>
      </c>
      <c r="N71" s="4">
        <v>12</v>
      </c>
      <c r="O71" s="20">
        <v>8.6999999999999993</v>
      </c>
      <c r="P71" s="2" t="s">
        <v>408</v>
      </c>
      <c r="Q71" s="2" t="s">
        <v>409</v>
      </c>
      <c r="R71" s="2" t="s">
        <v>410</v>
      </c>
      <c r="S71" s="2" t="s">
        <v>408</v>
      </c>
    </row>
    <row r="72" spans="11:19" x14ac:dyDescent="0.35">
      <c r="K72" s="2" t="s">
        <v>411</v>
      </c>
      <c r="L72" s="2" t="s">
        <v>412</v>
      </c>
      <c r="M72" s="4">
        <v>2014</v>
      </c>
      <c r="N72" s="4">
        <v>20</v>
      </c>
      <c r="O72" s="20">
        <v>8.6999999999999993</v>
      </c>
      <c r="P72" s="2" t="s">
        <v>2080</v>
      </c>
      <c r="Q72" s="2" t="s">
        <v>414</v>
      </c>
      <c r="R72" s="2" t="s">
        <v>415</v>
      </c>
      <c r="S72" s="2" t="s">
        <v>416</v>
      </c>
    </row>
    <row r="73" spans="11:19" x14ac:dyDescent="0.35">
      <c r="K73" s="2" t="s">
        <v>417</v>
      </c>
      <c r="L73" s="2" t="s">
        <v>418</v>
      </c>
      <c r="M73" s="4">
        <v>2017</v>
      </c>
      <c r="N73" s="4">
        <v>16</v>
      </c>
      <c r="O73" s="20">
        <v>8.6999999999999993</v>
      </c>
      <c r="P73" s="2" t="s">
        <v>419</v>
      </c>
      <c r="Q73" s="2" t="s">
        <v>420</v>
      </c>
      <c r="R73" s="2" t="s">
        <v>421</v>
      </c>
      <c r="S73" s="2" t="s">
        <v>422</v>
      </c>
    </row>
    <row r="74" spans="11:19" x14ac:dyDescent="0.35">
      <c r="K74" s="2" t="s">
        <v>423</v>
      </c>
      <c r="L74" s="2" t="s">
        <v>424</v>
      </c>
      <c r="M74" s="4">
        <v>2019</v>
      </c>
      <c r="N74" s="4">
        <v>40</v>
      </c>
      <c r="O74" s="20">
        <v>8.6999999999999993</v>
      </c>
      <c r="P74" s="2" t="s">
        <v>425</v>
      </c>
      <c r="Q74" s="2" t="s">
        <v>426</v>
      </c>
      <c r="R74" s="2" t="s">
        <v>427</v>
      </c>
      <c r="S74" s="2" t="s">
        <v>428</v>
      </c>
    </row>
    <row r="75" spans="11:19" x14ac:dyDescent="0.35">
      <c r="K75" s="2" t="s">
        <v>429</v>
      </c>
      <c r="L75" s="2" t="s">
        <v>430</v>
      </c>
      <c r="M75" s="4">
        <v>2023</v>
      </c>
      <c r="N75" s="4">
        <v>8</v>
      </c>
      <c r="O75" s="20">
        <v>8.6999999999999993</v>
      </c>
      <c r="P75" s="2" t="s">
        <v>2081</v>
      </c>
      <c r="Q75" s="2" t="s">
        <v>432</v>
      </c>
      <c r="R75" s="2" t="s">
        <v>433</v>
      </c>
      <c r="S75" s="2" t="s">
        <v>434</v>
      </c>
    </row>
    <row r="76" spans="11:19" x14ac:dyDescent="0.35">
      <c r="K76" s="2" t="s">
        <v>435</v>
      </c>
      <c r="L76" s="2" t="s">
        <v>436</v>
      </c>
      <c r="M76" s="4">
        <v>2021</v>
      </c>
      <c r="N76" s="4">
        <v>8</v>
      </c>
      <c r="O76" s="20">
        <v>8.6999999999999993</v>
      </c>
      <c r="P76" s="2" t="s">
        <v>437</v>
      </c>
      <c r="Q76" s="2" t="s">
        <v>438</v>
      </c>
      <c r="R76" s="2" t="s">
        <v>439</v>
      </c>
      <c r="S76" s="2" t="s">
        <v>440</v>
      </c>
    </row>
    <row r="77" spans="11:19" x14ac:dyDescent="0.35">
      <c r="K77" s="2" t="s">
        <v>441</v>
      </c>
      <c r="L77" s="2" t="s">
        <v>442</v>
      </c>
      <c r="M77" s="4">
        <v>2019</v>
      </c>
      <c r="N77" s="4">
        <v>16</v>
      </c>
      <c r="O77" s="20">
        <v>8.6999999999999993</v>
      </c>
      <c r="P77" s="2" t="s">
        <v>2082</v>
      </c>
      <c r="Q77" s="2" t="s">
        <v>444</v>
      </c>
      <c r="R77" s="2" t="s">
        <v>445</v>
      </c>
      <c r="S77" s="2" t="s">
        <v>446</v>
      </c>
    </row>
    <row r="78" spans="11:19" x14ac:dyDescent="0.35">
      <c r="K78" s="2" t="s">
        <v>447</v>
      </c>
      <c r="L78" s="2" t="s">
        <v>448</v>
      </c>
      <c r="M78" s="4">
        <v>2024</v>
      </c>
      <c r="N78" s="4">
        <v>12</v>
      </c>
      <c r="O78" s="20">
        <v>8.6999999999999993</v>
      </c>
      <c r="P78" s="2" t="s">
        <v>449</v>
      </c>
      <c r="Q78" s="2" t="s">
        <v>450</v>
      </c>
      <c r="R78" s="2" t="s">
        <v>451</v>
      </c>
      <c r="S78" s="2" t="s">
        <v>452</v>
      </c>
    </row>
    <row r="79" spans="11:19" x14ac:dyDescent="0.35">
      <c r="K79" s="2" t="s">
        <v>453</v>
      </c>
      <c r="L79" s="2" t="s">
        <v>454</v>
      </c>
      <c r="M79" s="4">
        <v>2019</v>
      </c>
      <c r="N79" s="4">
        <v>16</v>
      </c>
      <c r="O79" s="20">
        <v>8.6999999999999993</v>
      </c>
      <c r="P79" s="2" t="s">
        <v>455</v>
      </c>
      <c r="Q79" s="2" t="s">
        <v>456</v>
      </c>
      <c r="R79" s="2" t="s">
        <v>457</v>
      </c>
      <c r="S79" s="2" t="s">
        <v>458</v>
      </c>
    </row>
    <row r="80" spans="11:19" x14ac:dyDescent="0.35">
      <c r="K80" s="2" t="s">
        <v>459</v>
      </c>
      <c r="L80" s="2" t="s">
        <v>460</v>
      </c>
      <c r="M80" s="4">
        <v>2016</v>
      </c>
      <c r="N80" s="4">
        <v>20</v>
      </c>
      <c r="O80" s="20">
        <v>8.6999999999999993</v>
      </c>
      <c r="P80" s="2" t="s">
        <v>2151</v>
      </c>
      <c r="Q80" s="2" t="s">
        <v>462</v>
      </c>
      <c r="R80" s="2" t="s">
        <v>463</v>
      </c>
      <c r="S80" s="2" t="s">
        <v>464</v>
      </c>
    </row>
    <row r="81" spans="11:19" x14ac:dyDescent="0.35">
      <c r="K81" s="2" t="s">
        <v>465</v>
      </c>
      <c r="L81" s="2" t="s">
        <v>466</v>
      </c>
      <c r="M81" s="4">
        <v>2016</v>
      </c>
      <c r="N81" s="4">
        <v>16</v>
      </c>
      <c r="O81" s="20">
        <v>8.6999999999999993</v>
      </c>
      <c r="P81" s="2" t="s">
        <v>467</v>
      </c>
      <c r="Q81" s="2" t="s">
        <v>468</v>
      </c>
      <c r="R81" s="2" t="s">
        <v>469</v>
      </c>
      <c r="S81" s="2" t="s">
        <v>470</v>
      </c>
    </row>
    <row r="82" spans="11:19" x14ac:dyDescent="0.35">
      <c r="K82" s="2" t="s">
        <v>471</v>
      </c>
      <c r="L82" s="2" t="s">
        <v>472</v>
      </c>
      <c r="M82" s="4">
        <v>2021</v>
      </c>
      <c r="N82" s="4">
        <v>16</v>
      </c>
      <c r="O82" s="20">
        <v>8.6999999999999993</v>
      </c>
      <c r="P82" s="2" t="s">
        <v>473</v>
      </c>
      <c r="Q82" s="2" t="s">
        <v>254</v>
      </c>
      <c r="R82" s="2" t="s">
        <v>474</v>
      </c>
      <c r="S82" s="2" t="s">
        <v>475</v>
      </c>
    </row>
    <row r="83" spans="11:19" x14ac:dyDescent="0.35">
      <c r="K83" s="2" t="s">
        <v>476</v>
      </c>
      <c r="L83" s="2" t="s">
        <v>477</v>
      </c>
      <c r="M83" s="4">
        <v>2019</v>
      </c>
      <c r="N83" s="4">
        <v>10</v>
      </c>
      <c r="O83" s="20">
        <v>8.6999999999999993</v>
      </c>
      <c r="P83" s="2" t="s">
        <v>478</v>
      </c>
      <c r="Q83" s="2" t="s">
        <v>479</v>
      </c>
      <c r="R83" s="2" t="s">
        <v>480</v>
      </c>
      <c r="S83" s="2" t="s">
        <v>481</v>
      </c>
    </row>
    <row r="84" spans="11:19" x14ac:dyDescent="0.35">
      <c r="K84" s="2" t="s">
        <v>482</v>
      </c>
      <c r="L84" s="2" t="s">
        <v>483</v>
      </c>
      <c r="M84" s="4">
        <v>2018</v>
      </c>
      <c r="N84" s="4">
        <v>18</v>
      </c>
      <c r="O84" s="20">
        <v>8.6999999999999993</v>
      </c>
      <c r="P84" s="2" t="s">
        <v>484</v>
      </c>
      <c r="Q84" s="2" t="s">
        <v>485</v>
      </c>
      <c r="R84" s="2" t="s">
        <v>486</v>
      </c>
      <c r="S84" s="2" t="s">
        <v>487</v>
      </c>
    </row>
    <row r="85" spans="11:19" x14ac:dyDescent="0.35">
      <c r="K85" s="2" t="s">
        <v>488</v>
      </c>
      <c r="L85" s="2" t="s">
        <v>489</v>
      </c>
      <c r="M85" s="4">
        <v>2017</v>
      </c>
      <c r="N85" s="4">
        <v>16</v>
      </c>
      <c r="O85" s="20">
        <v>8.6999999999999993</v>
      </c>
      <c r="P85" s="2" t="s">
        <v>2083</v>
      </c>
      <c r="Q85" s="2" t="s">
        <v>491</v>
      </c>
      <c r="R85" s="2" t="s">
        <v>492</v>
      </c>
      <c r="S85" s="2" t="s">
        <v>493</v>
      </c>
    </row>
    <row r="86" spans="11:19" x14ac:dyDescent="0.35">
      <c r="K86" s="2" t="s">
        <v>494</v>
      </c>
      <c r="L86" s="2" t="s">
        <v>495</v>
      </c>
      <c r="M86" s="4">
        <v>2022</v>
      </c>
      <c r="N86" s="4">
        <v>16</v>
      </c>
      <c r="O86" s="20">
        <v>8.6</v>
      </c>
      <c r="P86" s="2" t="s">
        <v>497</v>
      </c>
      <c r="Q86" s="2" t="s">
        <v>386</v>
      </c>
      <c r="R86" s="2" t="s">
        <v>498</v>
      </c>
      <c r="S86" s="2" t="s">
        <v>499</v>
      </c>
    </row>
    <row r="87" spans="11:19" x14ac:dyDescent="0.35">
      <c r="K87" s="2" t="s">
        <v>500</v>
      </c>
      <c r="L87" s="2" t="s">
        <v>501</v>
      </c>
      <c r="M87" s="4">
        <v>2019</v>
      </c>
      <c r="N87" s="4">
        <v>32</v>
      </c>
      <c r="O87" s="20">
        <v>8.6</v>
      </c>
      <c r="P87" s="2" t="s">
        <v>502</v>
      </c>
      <c r="Q87" s="2" t="s">
        <v>503</v>
      </c>
      <c r="R87" s="2" t="s">
        <v>504</v>
      </c>
      <c r="S87" s="2" t="s">
        <v>505</v>
      </c>
    </row>
    <row r="88" spans="11:19" x14ac:dyDescent="0.35">
      <c r="K88" s="2" t="s">
        <v>506</v>
      </c>
      <c r="L88" s="2" t="s">
        <v>507</v>
      </c>
      <c r="M88" s="4">
        <v>2003</v>
      </c>
      <c r="N88" s="4">
        <v>54</v>
      </c>
      <c r="O88" s="20">
        <v>8.6</v>
      </c>
      <c r="P88" s="2" t="s">
        <v>508</v>
      </c>
      <c r="Q88" s="2" t="s">
        <v>509</v>
      </c>
      <c r="R88" s="2" t="s">
        <v>510</v>
      </c>
      <c r="S88" s="2" t="s">
        <v>511</v>
      </c>
    </row>
    <row r="89" spans="11:19" x14ac:dyDescent="0.35">
      <c r="K89" s="2" t="s">
        <v>512</v>
      </c>
      <c r="L89" s="2" t="s">
        <v>513</v>
      </c>
      <c r="M89" s="4">
        <v>2014</v>
      </c>
      <c r="N89" s="4">
        <v>16</v>
      </c>
      <c r="O89" s="20">
        <v>8.6</v>
      </c>
      <c r="P89" s="2" t="s">
        <v>514</v>
      </c>
      <c r="Q89" s="2" t="s">
        <v>114</v>
      </c>
      <c r="R89" s="2" t="s">
        <v>515</v>
      </c>
      <c r="S89" s="2" t="s">
        <v>516</v>
      </c>
    </row>
    <row r="90" spans="11:19" x14ac:dyDescent="0.35">
      <c r="K90" s="2" t="s">
        <v>517</v>
      </c>
      <c r="L90" s="2" t="s">
        <v>518</v>
      </c>
      <c r="M90" s="4">
        <v>2025</v>
      </c>
      <c r="N90" s="4">
        <v>12</v>
      </c>
      <c r="O90" s="20">
        <v>8.6</v>
      </c>
      <c r="P90" s="2" t="s">
        <v>519</v>
      </c>
      <c r="Q90" s="2" t="s">
        <v>520</v>
      </c>
      <c r="R90" s="2" t="s">
        <v>521</v>
      </c>
      <c r="S90" s="2" t="s">
        <v>522</v>
      </c>
    </row>
    <row r="91" spans="11:19" x14ac:dyDescent="0.35">
      <c r="K91" s="2" t="s">
        <v>523</v>
      </c>
      <c r="L91" s="2" t="s">
        <v>524</v>
      </c>
      <c r="M91" s="4">
        <v>2022</v>
      </c>
      <c r="N91" s="4">
        <v>12</v>
      </c>
      <c r="O91" s="20">
        <v>8.6</v>
      </c>
      <c r="P91" s="2" t="s">
        <v>2084</v>
      </c>
      <c r="Q91" s="2" t="s">
        <v>284</v>
      </c>
      <c r="R91" s="2" t="s">
        <v>526</v>
      </c>
      <c r="S91" s="2" t="s">
        <v>527</v>
      </c>
    </row>
    <row r="92" spans="11:19" x14ac:dyDescent="0.35">
      <c r="K92" s="2" t="s">
        <v>528</v>
      </c>
      <c r="L92" s="2" t="s">
        <v>529</v>
      </c>
      <c r="M92" s="4">
        <v>2022</v>
      </c>
      <c r="N92" s="4">
        <v>16</v>
      </c>
      <c r="O92" s="20">
        <v>8.6</v>
      </c>
      <c r="P92" s="2" t="s">
        <v>530</v>
      </c>
      <c r="Q92" s="2" t="s">
        <v>531</v>
      </c>
      <c r="R92" s="2" t="s">
        <v>532</v>
      </c>
      <c r="S92" s="2" t="s">
        <v>533</v>
      </c>
    </row>
    <row r="93" spans="11:19" x14ac:dyDescent="0.35">
      <c r="K93" s="2" t="s">
        <v>534</v>
      </c>
      <c r="L93" s="2" t="s">
        <v>535</v>
      </c>
      <c r="M93" s="4">
        <v>2018</v>
      </c>
      <c r="N93" s="4">
        <v>20</v>
      </c>
      <c r="O93" s="20">
        <v>8.6</v>
      </c>
      <c r="P93" s="2" t="s">
        <v>2152</v>
      </c>
      <c r="Q93" s="2" t="s">
        <v>537</v>
      </c>
      <c r="R93" s="2" t="s">
        <v>538</v>
      </c>
      <c r="S93" s="2" t="s">
        <v>539</v>
      </c>
    </row>
    <row r="94" spans="11:19" x14ac:dyDescent="0.35">
      <c r="K94" s="2" t="s">
        <v>540</v>
      </c>
      <c r="L94" s="2" t="s">
        <v>541</v>
      </c>
      <c r="M94" s="4">
        <v>2012</v>
      </c>
      <c r="N94" s="4">
        <v>28</v>
      </c>
      <c r="O94" s="20">
        <v>8.6</v>
      </c>
      <c r="P94" s="2" t="s">
        <v>542</v>
      </c>
      <c r="Q94" s="2" t="s">
        <v>543</v>
      </c>
      <c r="R94" s="2" t="s">
        <v>544</v>
      </c>
      <c r="S94" s="2" t="s">
        <v>545</v>
      </c>
    </row>
    <row r="95" spans="11:19" x14ac:dyDescent="0.35">
      <c r="K95" s="2" t="s">
        <v>546</v>
      </c>
      <c r="L95" s="2" t="s">
        <v>547</v>
      </c>
      <c r="M95" s="4">
        <v>2023</v>
      </c>
      <c r="N95" s="4">
        <v>12</v>
      </c>
      <c r="O95" s="20">
        <v>8.6</v>
      </c>
      <c r="P95" s="2" t="s">
        <v>548</v>
      </c>
      <c r="Q95" s="2" t="s">
        <v>549</v>
      </c>
      <c r="R95" s="2" t="s">
        <v>550</v>
      </c>
      <c r="S95" s="2" t="s">
        <v>551</v>
      </c>
    </row>
    <row r="96" spans="11:19" x14ac:dyDescent="0.35">
      <c r="K96" s="2" t="s">
        <v>552</v>
      </c>
      <c r="L96" s="2" t="s">
        <v>553</v>
      </c>
      <c r="M96" s="4">
        <v>2018</v>
      </c>
      <c r="N96" s="4">
        <v>32</v>
      </c>
      <c r="O96" s="20">
        <v>8.6</v>
      </c>
      <c r="P96" s="2" t="s">
        <v>2085</v>
      </c>
      <c r="Q96" s="2" t="s">
        <v>555</v>
      </c>
      <c r="R96" s="2" t="s">
        <v>556</v>
      </c>
      <c r="S96" s="2" t="s">
        <v>557</v>
      </c>
    </row>
    <row r="97" spans="11:19" x14ac:dyDescent="0.35">
      <c r="K97" s="2" t="s">
        <v>558</v>
      </c>
      <c r="L97" s="2" t="s">
        <v>559</v>
      </c>
      <c r="M97" s="4">
        <v>2017</v>
      </c>
      <c r="N97" s="4">
        <v>20</v>
      </c>
      <c r="O97" s="20">
        <v>8.6</v>
      </c>
      <c r="P97" s="2" t="s">
        <v>2086</v>
      </c>
      <c r="Q97" s="2" t="s">
        <v>561</v>
      </c>
      <c r="R97" s="2" t="s">
        <v>562</v>
      </c>
      <c r="S97" s="2" t="s">
        <v>563</v>
      </c>
    </row>
    <row r="98" spans="11:19" x14ac:dyDescent="0.35">
      <c r="K98" s="2" t="s">
        <v>564</v>
      </c>
      <c r="L98" s="2" t="s">
        <v>565</v>
      </c>
      <c r="M98" s="4">
        <v>2022</v>
      </c>
      <c r="N98" s="4">
        <v>12</v>
      </c>
      <c r="O98" s="20">
        <v>8.6</v>
      </c>
      <c r="P98" s="2" t="s">
        <v>566</v>
      </c>
      <c r="Q98" s="2" t="s">
        <v>567</v>
      </c>
      <c r="R98" s="2" t="s">
        <v>568</v>
      </c>
      <c r="S98" s="2" t="s">
        <v>569</v>
      </c>
    </row>
    <row r="99" spans="11:19" x14ac:dyDescent="0.35">
      <c r="K99" s="2" t="s">
        <v>570</v>
      </c>
      <c r="L99" s="2" t="s">
        <v>571</v>
      </c>
      <c r="M99" s="4">
        <v>2022</v>
      </c>
      <c r="N99" s="4">
        <v>16</v>
      </c>
      <c r="O99" s="20">
        <v>8.6</v>
      </c>
      <c r="P99" s="2" t="s">
        <v>572</v>
      </c>
      <c r="Q99" s="2" t="s">
        <v>573</v>
      </c>
      <c r="R99" s="2" t="s">
        <v>574</v>
      </c>
      <c r="S99" s="2" t="s">
        <v>575</v>
      </c>
    </row>
    <row r="100" spans="11:19" x14ac:dyDescent="0.35">
      <c r="K100" s="2" t="s">
        <v>576</v>
      </c>
      <c r="L100" s="2" t="s">
        <v>577</v>
      </c>
      <c r="M100" s="4">
        <v>2017</v>
      </c>
      <c r="N100" s="4">
        <v>12</v>
      </c>
      <c r="O100" s="20">
        <v>8.6</v>
      </c>
      <c r="P100" s="2" t="s">
        <v>578</v>
      </c>
      <c r="Q100" s="2" t="s">
        <v>579</v>
      </c>
      <c r="R100" s="2" t="s">
        <v>580</v>
      </c>
      <c r="S100" s="2" t="s">
        <v>581</v>
      </c>
    </row>
    <row r="101" spans="11:19" x14ac:dyDescent="0.35">
      <c r="K101" s="2" t="s">
        <v>582</v>
      </c>
      <c r="L101" s="2" t="s">
        <v>583</v>
      </c>
      <c r="M101" s="4">
        <v>2013</v>
      </c>
      <c r="N101" s="4">
        <v>51</v>
      </c>
      <c r="O101" s="20">
        <v>8.6</v>
      </c>
      <c r="P101" s="2" t="s">
        <v>584</v>
      </c>
      <c r="Q101" s="2" t="s">
        <v>585</v>
      </c>
      <c r="R101" s="2" t="s">
        <v>586</v>
      </c>
      <c r="S101" s="2" t="s">
        <v>587</v>
      </c>
    </row>
    <row r="102" spans="11:19" x14ac:dyDescent="0.35">
      <c r="K102" s="2" t="s">
        <v>588</v>
      </c>
      <c r="L102" s="2" t="s">
        <v>589</v>
      </c>
      <c r="M102" s="4">
        <v>2017</v>
      </c>
      <c r="N102" s="4">
        <v>52</v>
      </c>
      <c r="O102" s="20">
        <v>8.6</v>
      </c>
      <c r="P102" s="2" t="s">
        <v>590</v>
      </c>
      <c r="Q102" s="2" t="s">
        <v>591</v>
      </c>
      <c r="R102" s="2" t="s">
        <v>592</v>
      </c>
      <c r="S102" s="2" t="s">
        <v>593</v>
      </c>
    </row>
    <row r="103" spans="11:19" x14ac:dyDescent="0.35">
      <c r="K103" s="2" t="s">
        <v>594</v>
      </c>
      <c r="L103" s="2" t="s">
        <v>595</v>
      </c>
      <c r="M103" s="4">
        <v>2024</v>
      </c>
      <c r="N103" s="4">
        <v>8</v>
      </c>
      <c r="O103" s="20">
        <v>8.6</v>
      </c>
      <c r="P103" s="2" t="s">
        <v>596</v>
      </c>
      <c r="Q103" s="2" t="s">
        <v>597</v>
      </c>
      <c r="R103" s="2" t="s">
        <v>598</v>
      </c>
      <c r="S103" s="2" t="s">
        <v>599</v>
      </c>
    </row>
    <row r="104" spans="11:19" x14ac:dyDescent="0.35">
      <c r="K104" s="2" t="s">
        <v>600</v>
      </c>
      <c r="L104" s="2" t="s">
        <v>601</v>
      </c>
      <c r="M104" s="4">
        <v>2020</v>
      </c>
      <c r="N104" s="4">
        <v>100</v>
      </c>
      <c r="O104" s="20">
        <v>8.6</v>
      </c>
      <c r="P104" s="2" t="s">
        <v>2087</v>
      </c>
      <c r="Q104" s="2" t="s">
        <v>591</v>
      </c>
      <c r="R104" s="2" t="s">
        <v>603</v>
      </c>
      <c r="S104" s="2" t="s">
        <v>604</v>
      </c>
    </row>
    <row r="105" spans="11:19" x14ac:dyDescent="0.35">
      <c r="K105" s="2" t="s">
        <v>605</v>
      </c>
      <c r="L105" s="2" t="s">
        <v>606</v>
      </c>
      <c r="M105" s="4">
        <v>2020</v>
      </c>
      <c r="N105" s="4">
        <v>12</v>
      </c>
      <c r="O105" s="20">
        <v>8.6</v>
      </c>
      <c r="P105" s="2" t="s">
        <v>607</v>
      </c>
      <c r="Q105" s="2" t="s">
        <v>608</v>
      </c>
      <c r="R105" s="2" t="s">
        <v>609</v>
      </c>
      <c r="S105" s="2" t="s">
        <v>610</v>
      </c>
    </row>
    <row r="106" spans="11:19" x14ac:dyDescent="0.35">
      <c r="K106" s="2" t="s">
        <v>611</v>
      </c>
      <c r="L106" s="2" t="s">
        <v>612</v>
      </c>
      <c r="M106" s="4">
        <v>2020</v>
      </c>
      <c r="N106" s="4">
        <v>16</v>
      </c>
      <c r="O106" s="20">
        <v>8.6</v>
      </c>
      <c r="P106" s="2" t="s">
        <v>613</v>
      </c>
      <c r="Q106" s="2" t="s">
        <v>193</v>
      </c>
      <c r="R106" s="2" t="s">
        <v>614</v>
      </c>
      <c r="S106" s="2" t="s">
        <v>615</v>
      </c>
    </row>
    <row r="107" spans="11:19" x14ac:dyDescent="0.35">
      <c r="K107" s="2" t="s">
        <v>616</v>
      </c>
      <c r="L107" s="2" t="s">
        <v>617</v>
      </c>
      <c r="M107" s="4">
        <v>2019</v>
      </c>
      <c r="N107" s="4">
        <v>16</v>
      </c>
      <c r="O107" s="20">
        <v>8.6</v>
      </c>
      <c r="P107" s="2" t="s">
        <v>618</v>
      </c>
      <c r="Q107" s="2" t="s">
        <v>619</v>
      </c>
      <c r="R107" s="2" t="s">
        <v>620</v>
      </c>
      <c r="S107" s="2" t="s">
        <v>621</v>
      </c>
    </row>
    <row r="108" spans="11:19" x14ac:dyDescent="0.35">
      <c r="K108" s="2" t="s">
        <v>622</v>
      </c>
      <c r="L108" s="2" t="s">
        <v>623</v>
      </c>
      <c r="M108" s="4">
        <v>2022</v>
      </c>
      <c r="N108" s="4">
        <v>10</v>
      </c>
      <c r="O108" s="20">
        <v>8.6</v>
      </c>
      <c r="P108" s="2" t="s">
        <v>624</v>
      </c>
      <c r="Q108" s="2" t="s">
        <v>625</v>
      </c>
      <c r="R108" s="2" t="s">
        <v>626</v>
      </c>
      <c r="S108" s="2" t="s">
        <v>627</v>
      </c>
    </row>
    <row r="109" spans="11:19" x14ac:dyDescent="0.35">
      <c r="K109" s="2" t="s">
        <v>628</v>
      </c>
      <c r="L109" s="2" t="s">
        <v>629</v>
      </c>
      <c r="M109" s="4">
        <v>2013</v>
      </c>
      <c r="N109" s="4">
        <v>20</v>
      </c>
      <c r="O109" s="20">
        <v>8.6</v>
      </c>
      <c r="P109" s="2" t="s">
        <v>630</v>
      </c>
      <c r="Q109" s="2" t="s">
        <v>631</v>
      </c>
      <c r="R109" s="2" t="s">
        <v>632</v>
      </c>
      <c r="S109" s="2" t="s">
        <v>633</v>
      </c>
    </row>
    <row r="110" spans="11:19" x14ac:dyDescent="0.35">
      <c r="K110" s="2" t="s">
        <v>634</v>
      </c>
      <c r="L110" s="2" t="s">
        <v>635</v>
      </c>
      <c r="M110" s="4">
        <v>2023</v>
      </c>
      <c r="N110" s="4">
        <v>16</v>
      </c>
      <c r="O110" s="20">
        <v>8.6</v>
      </c>
      <c r="P110" s="2" t="s">
        <v>636</v>
      </c>
      <c r="Q110" s="2" t="s">
        <v>637</v>
      </c>
      <c r="R110" s="2" t="s">
        <v>638</v>
      </c>
      <c r="S110" s="2" t="s">
        <v>639</v>
      </c>
    </row>
    <row r="111" spans="11:19" x14ac:dyDescent="0.35">
      <c r="K111" s="2" t="s">
        <v>640</v>
      </c>
      <c r="L111" s="2" t="s">
        <v>641</v>
      </c>
      <c r="M111" s="4">
        <v>2013</v>
      </c>
      <c r="N111" s="4">
        <v>21</v>
      </c>
      <c r="O111" s="20">
        <v>8.6</v>
      </c>
      <c r="P111" s="2" t="s">
        <v>642</v>
      </c>
      <c r="Q111" s="2" t="s">
        <v>643</v>
      </c>
      <c r="R111" s="2" t="s">
        <v>644</v>
      </c>
      <c r="S111" s="2" t="s">
        <v>645</v>
      </c>
    </row>
    <row r="112" spans="11:19" x14ac:dyDescent="0.35">
      <c r="K112" s="2" t="s">
        <v>646</v>
      </c>
      <c r="L112" s="2" t="s">
        <v>647</v>
      </c>
      <c r="M112" s="4">
        <v>2020</v>
      </c>
      <c r="N112" s="4">
        <v>12</v>
      </c>
      <c r="O112" s="20">
        <v>8.6</v>
      </c>
      <c r="P112" s="2" t="s">
        <v>2153</v>
      </c>
      <c r="Q112" s="2" t="s">
        <v>649</v>
      </c>
      <c r="R112" s="2" t="s">
        <v>650</v>
      </c>
      <c r="S112" s="2" t="s">
        <v>651</v>
      </c>
    </row>
    <row r="113" spans="11:19" x14ac:dyDescent="0.35">
      <c r="K113" s="2" t="s">
        <v>652</v>
      </c>
      <c r="L113" s="2" t="s">
        <v>653</v>
      </c>
      <c r="M113" s="4">
        <v>2016</v>
      </c>
      <c r="N113" s="4">
        <v>12</v>
      </c>
      <c r="O113" s="20">
        <v>8.6</v>
      </c>
      <c r="P113" s="2" t="s">
        <v>654</v>
      </c>
      <c r="Q113" s="2" t="s">
        <v>655</v>
      </c>
      <c r="R113" s="2" t="s">
        <v>656</v>
      </c>
      <c r="S113" s="2" t="s">
        <v>657</v>
      </c>
    </row>
    <row r="114" spans="11:19" x14ac:dyDescent="0.35">
      <c r="K114" s="2" t="s">
        <v>658</v>
      </c>
      <c r="L114" s="2" t="s">
        <v>659</v>
      </c>
      <c r="M114" s="4">
        <v>2017</v>
      </c>
      <c r="N114" s="4">
        <v>16</v>
      </c>
      <c r="O114" s="20">
        <v>8.6</v>
      </c>
      <c r="P114" s="2" t="s">
        <v>660</v>
      </c>
      <c r="Q114" s="2" t="s">
        <v>661</v>
      </c>
      <c r="R114" s="2" t="s">
        <v>662</v>
      </c>
      <c r="S114" s="2" t="s">
        <v>663</v>
      </c>
    </row>
    <row r="115" spans="11:19" x14ac:dyDescent="0.35">
      <c r="K115" s="2" t="s">
        <v>664</v>
      </c>
      <c r="L115" s="2" t="s">
        <v>665</v>
      </c>
      <c r="M115" s="4">
        <v>2017</v>
      </c>
      <c r="N115" s="4">
        <v>16</v>
      </c>
      <c r="O115" s="20">
        <v>8.6</v>
      </c>
      <c r="P115" s="2" t="s">
        <v>666</v>
      </c>
      <c r="Q115" s="2" t="s">
        <v>272</v>
      </c>
      <c r="R115" s="2" t="s">
        <v>667</v>
      </c>
      <c r="S115" s="2" t="s">
        <v>668</v>
      </c>
    </row>
    <row r="116" spans="11:19" x14ac:dyDescent="0.35">
      <c r="K116" s="2" t="s">
        <v>669</v>
      </c>
      <c r="L116" s="2" t="s">
        <v>670</v>
      </c>
      <c r="M116" s="4">
        <v>2021</v>
      </c>
      <c r="N116" s="4">
        <v>12</v>
      </c>
      <c r="O116" s="20">
        <v>8.6</v>
      </c>
      <c r="P116" s="2" t="s">
        <v>2088</v>
      </c>
      <c r="Q116" s="2" t="s">
        <v>352</v>
      </c>
      <c r="R116" s="2" t="s">
        <v>672</v>
      </c>
      <c r="S116" s="2" t="s">
        <v>673</v>
      </c>
    </row>
    <row r="117" spans="11:19" x14ac:dyDescent="0.35">
      <c r="K117" s="2" t="s">
        <v>674</v>
      </c>
      <c r="L117" s="2">
        <v>365</v>
      </c>
      <c r="M117" s="4">
        <v>2020</v>
      </c>
      <c r="N117" s="4">
        <v>24</v>
      </c>
      <c r="O117" s="20">
        <v>8.6</v>
      </c>
      <c r="P117" s="2" t="s">
        <v>675</v>
      </c>
      <c r="Q117" s="2" t="s">
        <v>676</v>
      </c>
      <c r="R117" s="2" t="s">
        <v>677</v>
      </c>
      <c r="S117" s="2" t="s">
        <v>678</v>
      </c>
    </row>
    <row r="118" spans="11:19" x14ac:dyDescent="0.35">
      <c r="K118" s="2" t="s">
        <v>679</v>
      </c>
      <c r="L118" s="2" t="s">
        <v>680</v>
      </c>
      <c r="M118" s="4">
        <v>2013</v>
      </c>
      <c r="N118" s="4">
        <v>17</v>
      </c>
      <c r="O118" s="20">
        <v>8.6</v>
      </c>
      <c r="P118" s="2" t="s">
        <v>681</v>
      </c>
      <c r="Q118" s="2" t="s">
        <v>682</v>
      </c>
      <c r="R118" s="2" t="s">
        <v>683</v>
      </c>
      <c r="S118" s="2" t="s">
        <v>684</v>
      </c>
    </row>
    <row r="119" spans="11:19" x14ac:dyDescent="0.35">
      <c r="K119" s="2" t="s">
        <v>685</v>
      </c>
      <c r="L119" s="2" t="s">
        <v>686</v>
      </c>
      <c r="M119" s="4">
        <v>2017</v>
      </c>
      <c r="N119" s="4">
        <v>12</v>
      </c>
      <c r="O119" s="20">
        <v>8.6</v>
      </c>
      <c r="P119" s="2" t="s">
        <v>2089</v>
      </c>
      <c r="Q119" s="2" t="s">
        <v>688</v>
      </c>
      <c r="R119" s="2" t="s">
        <v>689</v>
      </c>
      <c r="S119" s="2" t="s">
        <v>690</v>
      </c>
    </row>
    <row r="120" spans="11:19" x14ac:dyDescent="0.35">
      <c r="K120" s="2" t="s">
        <v>691</v>
      </c>
      <c r="L120" s="2" t="s">
        <v>692</v>
      </c>
      <c r="M120" s="4">
        <v>2017</v>
      </c>
      <c r="N120" s="4">
        <v>30</v>
      </c>
      <c r="O120" s="20">
        <v>8.5</v>
      </c>
      <c r="P120" s="2" t="s">
        <v>2154</v>
      </c>
      <c r="Q120" s="2" t="s">
        <v>695</v>
      </c>
      <c r="R120" s="2" t="s">
        <v>696</v>
      </c>
      <c r="S120" s="2" t="s">
        <v>697</v>
      </c>
    </row>
    <row r="121" spans="11:19" x14ac:dyDescent="0.35">
      <c r="K121" s="2" t="s">
        <v>698</v>
      </c>
      <c r="L121" s="2" t="s">
        <v>699</v>
      </c>
      <c r="M121" s="4">
        <v>2024</v>
      </c>
      <c r="N121" s="4">
        <v>10</v>
      </c>
      <c r="O121" s="20">
        <v>8.5</v>
      </c>
      <c r="P121" s="2" t="s">
        <v>700</v>
      </c>
      <c r="Q121" s="2" t="s">
        <v>701</v>
      </c>
      <c r="R121" s="2" t="s">
        <v>702</v>
      </c>
      <c r="S121" s="2" t="s">
        <v>703</v>
      </c>
    </row>
    <row r="122" spans="11:19" x14ac:dyDescent="0.35">
      <c r="K122" s="2" t="s">
        <v>704</v>
      </c>
      <c r="L122" s="2" t="s">
        <v>705</v>
      </c>
      <c r="M122" s="4">
        <v>2020</v>
      </c>
      <c r="N122" s="4">
        <v>16</v>
      </c>
      <c r="O122" s="20">
        <v>8.5</v>
      </c>
      <c r="P122" s="2" t="s">
        <v>2090</v>
      </c>
      <c r="Q122" s="2" t="s">
        <v>707</v>
      </c>
      <c r="R122" s="2" t="s">
        <v>708</v>
      </c>
      <c r="S122" s="2" t="s">
        <v>709</v>
      </c>
    </row>
    <row r="123" spans="11:19" x14ac:dyDescent="0.35">
      <c r="K123" s="2" t="s">
        <v>710</v>
      </c>
      <c r="L123" s="2" t="s">
        <v>711</v>
      </c>
      <c r="M123" s="4">
        <v>2014</v>
      </c>
      <c r="N123" s="4">
        <v>11</v>
      </c>
      <c r="O123" s="20">
        <v>8.5</v>
      </c>
      <c r="P123" s="2" t="s">
        <v>712</v>
      </c>
      <c r="Q123" s="2" t="s">
        <v>713</v>
      </c>
      <c r="R123" s="2" t="s">
        <v>714</v>
      </c>
      <c r="S123" s="2" t="s">
        <v>715</v>
      </c>
    </row>
    <row r="124" spans="11:19" x14ac:dyDescent="0.35">
      <c r="K124" s="2" t="s">
        <v>716</v>
      </c>
      <c r="L124" s="2" t="s">
        <v>717</v>
      </c>
      <c r="M124" s="4">
        <v>2019</v>
      </c>
      <c r="N124" s="4">
        <v>16</v>
      </c>
      <c r="O124" s="20">
        <v>8.5</v>
      </c>
      <c r="P124" s="2" t="s">
        <v>718</v>
      </c>
      <c r="Q124" s="2" t="s">
        <v>719</v>
      </c>
      <c r="R124" s="2" t="s">
        <v>720</v>
      </c>
      <c r="S124" s="2" t="s">
        <v>721</v>
      </c>
    </row>
    <row r="125" spans="11:19" x14ac:dyDescent="0.35">
      <c r="K125" s="2" t="s">
        <v>722</v>
      </c>
      <c r="L125" s="2" t="s">
        <v>723</v>
      </c>
      <c r="M125" s="4">
        <v>2024</v>
      </c>
      <c r="N125" s="4">
        <v>16</v>
      </c>
      <c r="O125" s="20">
        <v>8.5</v>
      </c>
      <c r="P125" s="2" t="s">
        <v>2091</v>
      </c>
      <c r="Q125" s="2" t="s">
        <v>725</v>
      </c>
      <c r="R125" s="2" t="s">
        <v>726</v>
      </c>
      <c r="S125" s="2" t="s">
        <v>727</v>
      </c>
    </row>
    <row r="126" spans="11:19" x14ac:dyDescent="0.35">
      <c r="K126" s="2" t="s">
        <v>728</v>
      </c>
      <c r="L126" s="2" t="s">
        <v>729</v>
      </c>
      <c r="M126" s="4">
        <v>2019</v>
      </c>
      <c r="N126" s="4">
        <v>6</v>
      </c>
      <c r="O126" s="20">
        <v>8.5</v>
      </c>
      <c r="P126" s="2" t="s">
        <v>730</v>
      </c>
      <c r="Q126" s="2" t="s">
        <v>358</v>
      </c>
      <c r="R126" s="2" t="s">
        <v>731</v>
      </c>
      <c r="S126" s="2" t="s">
        <v>732</v>
      </c>
    </row>
    <row r="127" spans="11:19" x14ac:dyDescent="0.35">
      <c r="K127" s="2" t="s">
        <v>733</v>
      </c>
      <c r="L127" s="2" t="s">
        <v>734</v>
      </c>
      <c r="M127" s="4">
        <v>2020</v>
      </c>
      <c r="N127" s="4">
        <v>16</v>
      </c>
      <c r="O127" s="20">
        <v>8.5</v>
      </c>
      <c r="P127" s="2" t="s">
        <v>2092</v>
      </c>
      <c r="Q127" s="2" t="s">
        <v>736</v>
      </c>
      <c r="R127" s="2" t="s">
        <v>737</v>
      </c>
      <c r="S127" s="2" t="s">
        <v>738</v>
      </c>
    </row>
    <row r="128" spans="11:19" x14ac:dyDescent="0.35">
      <c r="K128" s="2" t="s">
        <v>739</v>
      </c>
      <c r="L128" s="2" t="s">
        <v>740</v>
      </c>
      <c r="M128" s="4">
        <v>2013</v>
      </c>
      <c r="N128" s="4">
        <v>18</v>
      </c>
      <c r="O128" s="20">
        <v>8.5</v>
      </c>
      <c r="P128" s="2" t="s">
        <v>2093</v>
      </c>
      <c r="Q128" s="2" t="s">
        <v>742</v>
      </c>
      <c r="R128" s="2" t="s">
        <v>743</v>
      </c>
      <c r="S128" s="2" t="s">
        <v>744</v>
      </c>
    </row>
    <row r="129" spans="11:19" x14ac:dyDescent="0.35">
      <c r="K129" s="2" t="s">
        <v>745</v>
      </c>
      <c r="L129" s="2" t="s">
        <v>746</v>
      </c>
      <c r="M129" s="4">
        <v>2018</v>
      </c>
      <c r="N129" s="4">
        <v>16</v>
      </c>
      <c r="O129" s="20">
        <v>8.5</v>
      </c>
      <c r="P129" s="2" t="s">
        <v>747</v>
      </c>
      <c r="Q129" s="2" t="s">
        <v>748</v>
      </c>
      <c r="R129" s="2" t="s">
        <v>749</v>
      </c>
      <c r="S129" s="2" t="s">
        <v>750</v>
      </c>
    </row>
    <row r="130" spans="11:19" x14ac:dyDescent="0.35">
      <c r="K130" s="2" t="s">
        <v>751</v>
      </c>
      <c r="L130" s="2" t="s">
        <v>752</v>
      </c>
      <c r="M130" s="4">
        <v>2019</v>
      </c>
      <c r="N130" s="4">
        <v>16</v>
      </c>
      <c r="O130" s="20">
        <v>8.5</v>
      </c>
      <c r="P130" s="2" t="s">
        <v>2094</v>
      </c>
      <c r="Q130" s="2" t="s">
        <v>754</v>
      </c>
      <c r="R130" s="2" t="s">
        <v>755</v>
      </c>
      <c r="S130" s="2" t="s">
        <v>756</v>
      </c>
    </row>
    <row r="131" spans="11:19" x14ac:dyDescent="0.35">
      <c r="K131" s="2" t="s">
        <v>757</v>
      </c>
      <c r="L131" s="2" t="s">
        <v>758</v>
      </c>
      <c r="M131" s="4">
        <v>2021</v>
      </c>
      <c r="N131" s="4">
        <v>8</v>
      </c>
      <c r="O131" s="20">
        <v>8.5</v>
      </c>
      <c r="P131" s="2" t="s">
        <v>759</v>
      </c>
      <c r="Q131" s="2" t="s">
        <v>760</v>
      </c>
      <c r="R131" s="2" t="s">
        <v>761</v>
      </c>
      <c r="S131" s="2" t="s">
        <v>762</v>
      </c>
    </row>
    <row r="132" spans="11:19" x14ac:dyDescent="0.35">
      <c r="K132" s="2" t="s">
        <v>763</v>
      </c>
      <c r="L132" s="2" t="s">
        <v>764</v>
      </c>
      <c r="M132" s="4">
        <v>2012</v>
      </c>
      <c r="N132" s="4">
        <v>16</v>
      </c>
      <c r="O132" s="20">
        <v>8.5</v>
      </c>
      <c r="P132" s="2" t="s">
        <v>765</v>
      </c>
      <c r="Q132" s="2" t="s">
        <v>766</v>
      </c>
      <c r="R132" s="2" t="s">
        <v>767</v>
      </c>
      <c r="S132" s="2" t="s">
        <v>768</v>
      </c>
    </row>
    <row r="133" spans="11:19" x14ac:dyDescent="0.35">
      <c r="K133" s="2" t="s">
        <v>769</v>
      </c>
      <c r="L133" s="2" t="s">
        <v>770</v>
      </c>
      <c r="M133" s="4">
        <v>2019</v>
      </c>
      <c r="N133" s="4">
        <v>32</v>
      </c>
      <c r="O133" s="20">
        <v>8.5</v>
      </c>
      <c r="P133" s="2" t="s">
        <v>2155</v>
      </c>
      <c r="Q133" s="2" t="s">
        <v>772</v>
      </c>
      <c r="R133" s="2" t="s">
        <v>773</v>
      </c>
      <c r="S133" s="2" t="s">
        <v>774</v>
      </c>
    </row>
    <row r="134" spans="11:19" x14ac:dyDescent="0.35">
      <c r="K134" s="2" t="s">
        <v>775</v>
      </c>
      <c r="L134" s="2" t="s">
        <v>776</v>
      </c>
      <c r="M134" s="4">
        <v>2020</v>
      </c>
      <c r="N134" s="4">
        <v>16</v>
      </c>
      <c r="O134" s="20">
        <v>8.5</v>
      </c>
      <c r="P134" s="2" t="s">
        <v>777</v>
      </c>
      <c r="Q134" s="2" t="s">
        <v>778</v>
      </c>
      <c r="R134" s="2" t="s">
        <v>779</v>
      </c>
      <c r="S134" s="2" t="s">
        <v>780</v>
      </c>
    </row>
    <row r="135" spans="11:19" x14ac:dyDescent="0.35">
      <c r="K135" s="2" t="s">
        <v>781</v>
      </c>
      <c r="L135" s="2" t="s">
        <v>782</v>
      </c>
      <c r="M135" s="4">
        <v>2017</v>
      </c>
      <c r="N135" s="4">
        <v>16</v>
      </c>
      <c r="O135" s="20">
        <v>8.5</v>
      </c>
      <c r="P135" s="2" t="s">
        <v>2095</v>
      </c>
      <c r="Q135" s="2" t="s">
        <v>784</v>
      </c>
      <c r="R135" s="2" t="s">
        <v>785</v>
      </c>
      <c r="S135" s="2" t="s">
        <v>786</v>
      </c>
    </row>
    <row r="136" spans="11:19" x14ac:dyDescent="0.35">
      <c r="K136" s="2" t="s">
        <v>787</v>
      </c>
      <c r="L136" s="2" t="s">
        <v>788</v>
      </c>
      <c r="M136" s="4">
        <v>2017</v>
      </c>
      <c r="N136" s="4">
        <v>16</v>
      </c>
      <c r="O136" s="20">
        <v>8.5</v>
      </c>
      <c r="P136" s="2" t="s">
        <v>789</v>
      </c>
      <c r="Q136" s="2" t="s">
        <v>790</v>
      </c>
      <c r="R136" s="2" t="s">
        <v>791</v>
      </c>
      <c r="S136" s="2" t="s">
        <v>792</v>
      </c>
    </row>
    <row r="137" spans="11:19" x14ac:dyDescent="0.35">
      <c r="K137" s="2" t="s">
        <v>793</v>
      </c>
      <c r="L137" s="2" t="s">
        <v>794</v>
      </c>
      <c r="M137" s="4">
        <v>2021</v>
      </c>
      <c r="N137" s="4">
        <v>9</v>
      </c>
      <c r="O137" s="20">
        <v>8.5</v>
      </c>
      <c r="P137" s="2" t="s">
        <v>795</v>
      </c>
      <c r="Q137" s="2" t="s">
        <v>272</v>
      </c>
      <c r="R137" s="2" t="s">
        <v>796</v>
      </c>
      <c r="S137" s="2" t="s">
        <v>797</v>
      </c>
    </row>
    <row r="138" spans="11:19" x14ac:dyDescent="0.35">
      <c r="K138" s="2" t="s">
        <v>798</v>
      </c>
      <c r="L138" s="2" t="s">
        <v>799</v>
      </c>
      <c r="M138" s="4">
        <v>2016</v>
      </c>
      <c r="N138" s="4">
        <v>16</v>
      </c>
      <c r="O138" s="20">
        <v>8.5</v>
      </c>
      <c r="P138" s="2" t="s">
        <v>800</v>
      </c>
      <c r="Q138" s="2" t="s">
        <v>801</v>
      </c>
      <c r="R138" s="2" t="s">
        <v>802</v>
      </c>
      <c r="S138" s="2" t="s">
        <v>803</v>
      </c>
    </row>
    <row r="139" spans="11:19" x14ac:dyDescent="0.35">
      <c r="K139" s="2" t="s">
        <v>804</v>
      </c>
      <c r="L139" s="2" t="s">
        <v>805</v>
      </c>
      <c r="M139" s="4">
        <v>2009</v>
      </c>
      <c r="N139" s="4">
        <v>62</v>
      </c>
      <c r="O139" s="20">
        <v>8.5</v>
      </c>
      <c r="P139" s="2" t="s">
        <v>806</v>
      </c>
      <c r="Q139" s="2" t="s">
        <v>807</v>
      </c>
      <c r="R139" s="2" t="s">
        <v>808</v>
      </c>
      <c r="S139" s="2" t="s">
        <v>809</v>
      </c>
    </row>
    <row r="140" spans="11:19" x14ac:dyDescent="0.35">
      <c r="K140" s="2" t="s">
        <v>810</v>
      </c>
      <c r="L140" s="2" t="s">
        <v>811</v>
      </c>
      <c r="M140" s="4">
        <v>2021</v>
      </c>
      <c r="N140" s="4">
        <v>13</v>
      </c>
      <c r="O140" s="20">
        <v>8.5</v>
      </c>
      <c r="P140" s="2" t="s">
        <v>2156</v>
      </c>
      <c r="Q140" s="2" t="s">
        <v>409</v>
      </c>
      <c r="R140" s="2" t="s">
        <v>813</v>
      </c>
      <c r="S140" s="2" t="s">
        <v>814</v>
      </c>
    </row>
    <row r="141" spans="11:19" x14ac:dyDescent="0.35">
      <c r="K141" s="2" t="s">
        <v>815</v>
      </c>
      <c r="L141" s="2" t="s">
        <v>816</v>
      </c>
      <c r="M141" s="4">
        <v>2021</v>
      </c>
      <c r="N141" s="4">
        <v>16</v>
      </c>
      <c r="O141" s="20">
        <v>8.5</v>
      </c>
      <c r="P141" s="2" t="s">
        <v>817</v>
      </c>
      <c r="Q141" s="2" t="s">
        <v>818</v>
      </c>
      <c r="R141" s="2" t="s">
        <v>2096</v>
      </c>
      <c r="S141" s="2" t="s">
        <v>820</v>
      </c>
    </row>
    <row r="142" spans="11:19" x14ac:dyDescent="0.35">
      <c r="K142" s="2" t="s">
        <v>821</v>
      </c>
      <c r="L142" s="2" t="s">
        <v>822</v>
      </c>
      <c r="M142" s="4">
        <v>2018</v>
      </c>
      <c r="N142" s="4">
        <v>32</v>
      </c>
      <c r="O142" s="20">
        <v>8.5</v>
      </c>
      <c r="P142" s="2" t="s">
        <v>823</v>
      </c>
      <c r="Q142" s="2" t="s">
        <v>824</v>
      </c>
      <c r="R142" s="2" t="s">
        <v>825</v>
      </c>
      <c r="S142" s="2" t="s">
        <v>826</v>
      </c>
    </row>
    <row r="143" spans="11:19" x14ac:dyDescent="0.35">
      <c r="K143" s="2" t="s">
        <v>827</v>
      </c>
      <c r="L143" s="2" t="s">
        <v>828</v>
      </c>
      <c r="M143" s="4">
        <v>2019</v>
      </c>
      <c r="N143" s="4">
        <v>40</v>
      </c>
      <c r="O143" s="20">
        <v>8.5</v>
      </c>
      <c r="P143" s="2" t="s">
        <v>829</v>
      </c>
      <c r="Q143" s="2" t="s">
        <v>830</v>
      </c>
      <c r="R143" s="2" t="s">
        <v>831</v>
      </c>
      <c r="S143" s="2" t="s">
        <v>832</v>
      </c>
    </row>
    <row r="144" spans="11:19" x14ac:dyDescent="0.35">
      <c r="K144" s="2" t="s">
        <v>833</v>
      </c>
      <c r="L144" s="2" t="s">
        <v>834</v>
      </c>
      <c r="M144" s="4">
        <v>2019</v>
      </c>
      <c r="N144" s="4">
        <v>16</v>
      </c>
      <c r="O144" s="20">
        <v>8.5</v>
      </c>
      <c r="P144" s="2" t="s">
        <v>835</v>
      </c>
      <c r="Q144" s="2" t="s">
        <v>836</v>
      </c>
      <c r="R144" s="2" t="s">
        <v>837</v>
      </c>
      <c r="S144" s="2" t="s">
        <v>838</v>
      </c>
    </row>
    <row r="145" spans="11:19" x14ac:dyDescent="0.35">
      <c r="K145" s="2" t="s">
        <v>839</v>
      </c>
      <c r="L145" s="2" t="s">
        <v>840</v>
      </c>
      <c r="M145" s="4">
        <v>2024</v>
      </c>
      <c r="N145" s="4">
        <v>16</v>
      </c>
      <c r="O145" s="20">
        <v>8.5</v>
      </c>
      <c r="P145" s="2" t="s">
        <v>841</v>
      </c>
      <c r="Q145" s="2" t="s">
        <v>842</v>
      </c>
      <c r="R145" s="2" t="s">
        <v>843</v>
      </c>
      <c r="S145" s="2" t="s">
        <v>844</v>
      </c>
    </row>
    <row r="146" spans="11:19" x14ac:dyDescent="0.35">
      <c r="K146" s="2" t="s">
        <v>845</v>
      </c>
      <c r="L146" s="2" t="s">
        <v>846</v>
      </c>
      <c r="M146" s="4">
        <v>2020</v>
      </c>
      <c r="N146" s="4">
        <v>16</v>
      </c>
      <c r="O146" s="20">
        <v>8.5</v>
      </c>
      <c r="P146" s="2" t="s">
        <v>847</v>
      </c>
      <c r="Q146" s="2" t="s">
        <v>520</v>
      </c>
      <c r="R146" s="2" t="s">
        <v>848</v>
      </c>
      <c r="S146" s="2" t="s">
        <v>849</v>
      </c>
    </row>
    <row r="147" spans="11:19" x14ac:dyDescent="0.35">
      <c r="K147" s="2" t="s">
        <v>850</v>
      </c>
      <c r="L147" s="2" t="s">
        <v>851</v>
      </c>
      <c r="M147" s="4">
        <v>2021</v>
      </c>
      <c r="N147" s="4">
        <v>16</v>
      </c>
      <c r="O147" s="20">
        <v>8.5</v>
      </c>
      <c r="P147" s="2" t="s">
        <v>2097</v>
      </c>
      <c r="Q147" s="2" t="s">
        <v>853</v>
      </c>
      <c r="R147" s="2" t="s">
        <v>854</v>
      </c>
      <c r="S147" s="2" t="s">
        <v>855</v>
      </c>
    </row>
    <row r="148" spans="11:19" x14ac:dyDescent="0.35">
      <c r="K148" s="2" t="s">
        <v>856</v>
      </c>
      <c r="L148" s="2" t="s">
        <v>857</v>
      </c>
      <c r="M148" s="4">
        <v>2017</v>
      </c>
      <c r="N148" s="4">
        <v>12</v>
      </c>
      <c r="O148" s="20">
        <v>8.5</v>
      </c>
      <c r="P148" s="2" t="s">
        <v>858</v>
      </c>
      <c r="Q148" s="2" t="s">
        <v>2061</v>
      </c>
      <c r="R148" s="2" t="s">
        <v>2061</v>
      </c>
      <c r="S148" s="2" t="s">
        <v>2061</v>
      </c>
    </row>
    <row r="149" spans="11:19" x14ac:dyDescent="0.35">
      <c r="K149" s="2" t="s">
        <v>859</v>
      </c>
      <c r="L149" s="2" t="s">
        <v>860</v>
      </c>
      <c r="M149" s="4">
        <v>2017</v>
      </c>
      <c r="N149" s="4">
        <v>16</v>
      </c>
      <c r="O149" s="20">
        <v>8.5</v>
      </c>
      <c r="P149" s="2" t="s">
        <v>861</v>
      </c>
      <c r="Q149" s="2" t="s">
        <v>862</v>
      </c>
      <c r="R149" s="2" t="s">
        <v>863</v>
      </c>
      <c r="S149" s="2" t="s">
        <v>864</v>
      </c>
    </row>
    <row r="150" spans="11:19" x14ac:dyDescent="0.35">
      <c r="K150" s="2" t="s">
        <v>865</v>
      </c>
      <c r="L150" s="2" t="s">
        <v>866</v>
      </c>
      <c r="M150" s="4">
        <v>2011</v>
      </c>
      <c r="N150" s="4">
        <v>24</v>
      </c>
      <c r="O150" s="20">
        <v>8.5</v>
      </c>
      <c r="P150" s="2" t="s">
        <v>867</v>
      </c>
      <c r="Q150" s="2" t="s">
        <v>868</v>
      </c>
      <c r="R150" s="2" t="s">
        <v>869</v>
      </c>
      <c r="S150" s="2" t="s">
        <v>870</v>
      </c>
    </row>
    <row r="151" spans="11:19" x14ac:dyDescent="0.35">
      <c r="K151" s="2" t="s">
        <v>871</v>
      </c>
      <c r="L151" s="2" t="s">
        <v>872</v>
      </c>
      <c r="M151" s="4">
        <v>2022</v>
      </c>
      <c r="N151" s="4">
        <v>16</v>
      </c>
      <c r="O151" s="20">
        <v>8.5</v>
      </c>
      <c r="P151" s="2" t="s">
        <v>873</v>
      </c>
      <c r="Q151" s="2" t="s">
        <v>567</v>
      </c>
      <c r="R151" s="2" t="s">
        <v>874</v>
      </c>
      <c r="S151" s="2" t="s">
        <v>875</v>
      </c>
    </row>
    <row r="152" spans="11:19" x14ac:dyDescent="0.35">
      <c r="K152" s="2" t="s">
        <v>876</v>
      </c>
      <c r="L152" s="2" t="s">
        <v>877</v>
      </c>
      <c r="M152" s="4">
        <v>2013</v>
      </c>
      <c r="N152" s="4">
        <v>16</v>
      </c>
      <c r="O152" s="20">
        <v>8.5</v>
      </c>
      <c r="P152" s="2" t="s">
        <v>878</v>
      </c>
      <c r="Q152" s="2" t="s">
        <v>284</v>
      </c>
      <c r="R152" s="2" t="s">
        <v>879</v>
      </c>
      <c r="S152" s="2" t="s">
        <v>880</v>
      </c>
    </row>
    <row r="153" spans="11:19" x14ac:dyDescent="0.35">
      <c r="K153" s="2" t="s">
        <v>881</v>
      </c>
      <c r="L153" s="2" t="s">
        <v>882</v>
      </c>
      <c r="M153" s="4">
        <v>2021</v>
      </c>
      <c r="N153" s="4">
        <v>12</v>
      </c>
      <c r="O153" s="20">
        <v>8.5</v>
      </c>
      <c r="P153" s="2" t="s">
        <v>883</v>
      </c>
      <c r="Q153" s="2" t="s">
        <v>884</v>
      </c>
      <c r="R153" s="2" t="s">
        <v>885</v>
      </c>
      <c r="S153" s="2" t="s">
        <v>886</v>
      </c>
    </row>
    <row r="154" spans="11:19" x14ac:dyDescent="0.35">
      <c r="K154" s="2" t="s">
        <v>887</v>
      </c>
      <c r="L154" s="2" t="s">
        <v>888</v>
      </c>
      <c r="M154" s="4">
        <v>2010</v>
      </c>
      <c r="N154" s="4">
        <v>60</v>
      </c>
      <c r="O154" s="20">
        <v>8.5</v>
      </c>
      <c r="P154" s="2" t="s">
        <v>889</v>
      </c>
      <c r="Q154" s="2" t="s">
        <v>890</v>
      </c>
      <c r="R154" s="2" t="s">
        <v>891</v>
      </c>
      <c r="S154" s="2" t="s">
        <v>892</v>
      </c>
    </row>
    <row r="155" spans="11:19" x14ac:dyDescent="0.35">
      <c r="K155" s="2" t="s">
        <v>893</v>
      </c>
      <c r="L155" s="2" t="s">
        <v>894</v>
      </c>
      <c r="M155" s="4">
        <v>2022</v>
      </c>
      <c r="N155" s="4">
        <v>12</v>
      </c>
      <c r="O155" s="20">
        <v>8.5</v>
      </c>
      <c r="P155" s="2" t="s">
        <v>2098</v>
      </c>
      <c r="Q155" s="2" t="s">
        <v>896</v>
      </c>
      <c r="R155" s="2" t="s">
        <v>897</v>
      </c>
      <c r="S155" s="2" t="s">
        <v>898</v>
      </c>
    </row>
    <row r="156" spans="11:19" x14ac:dyDescent="0.35">
      <c r="K156" s="2" t="s">
        <v>899</v>
      </c>
      <c r="L156" s="2" t="s">
        <v>900</v>
      </c>
      <c r="M156" s="4">
        <v>2019</v>
      </c>
      <c r="N156" s="4">
        <v>32</v>
      </c>
      <c r="O156" s="20">
        <v>8.5</v>
      </c>
      <c r="P156" s="2" t="s">
        <v>2099</v>
      </c>
      <c r="Q156" s="2" t="s">
        <v>725</v>
      </c>
      <c r="R156" s="2" t="s">
        <v>902</v>
      </c>
      <c r="S156" s="2" t="s">
        <v>903</v>
      </c>
    </row>
    <row r="157" spans="11:19" x14ac:dyDescent="0.35">
      <c r="K157" s="2" t="s">
        <v>904</v>
      </c>
      <c r="L157" s="2" t="s">
        <v>905</v>
      </c>
      <c r="M157" s="4">
        <v>2020</v>
      </c>
      <c r="N157" s="4">
        <v>16</v>
      </c>
      <c r="O157" s="20">
        <v>8.5</v>
      </c>
      <c r="P157" s="2" t="s">
        <v>906</v>
      </c>
      <c r="Q157" s="2" t="s">
        <v>907</v>
      </c>
      <c r="R157" s="2" t="s">
        <v>908</v>
      </c>
      <c r="S157" s="2" t="s">
        <v>909</v>
      </c>
    </row>
    <row r="158" spans="11:19" x14ac:dyDescent="0.35">
      <c r="K158" s="2" t="s">
        <v>910</v>
      </c>
      <c r="L158" s="2" t="s">
        <v>911</v>
      </c>
      <c r="M158" s="4">
        <v>2024</v>
      </c>
      <c r="N158" s="4">
        <v>10</v>
      </c>
      <c r="O158" s="20">
        <v>8.5</v>
      </c>
      <c r="P158" s="2" t="s">
        <v>912</v>
      </c>
      <c r="Q158" s="2" t="s">
        <v>913</v>
      </c>
      <c r="R158" s="2" t="s">
        <v>914</v>
      </c>
      <c r="S158" s="2" t="s">
        <v>915</v>
      </c>
    </row>
    <row r="159" spans="11:19" x14ac:dyDescent="0.35">
      <c r="K159" s="2" t="s">
        <v>916</v>
      </c>
      <c r="L159" s="2" t="s">
        <v>917</v>
      </c>
      <c r="M159" s="4">
        <v>2022</v>
      </c>
      <c r="N159" s="4">
        <v>12</v>
      </c>
      <c r="O159" s="20">
        <v>8.5</v>
      </c>
      <c r="P159" s="2" t="s">
        <v>918</v>
      </c>
      <c r="Q159" s="2" t="s">
        <v>919</v>
      </c>
      <c r="R159" s="2" t="s">
        <v>920</v>
      </c>
      <c r="S159" s="2" t="s">
        <v>921</v>
      </c>
    </row>
    <row r="160" spans="11:19" x14ac:dyDescent="0.35">
      <c r="K160" s="2" t="s">
        <v>922</v>
      </c>
      <c r="L160" s="2" t="s">
        <v>923</v>
      </c>
      <c r="M160" s="4">
        <v>2020</v>
      </c>
      <c r="N160" s="4">
        <v>10</v>
      </c>
      <c r="O160" s="20">
        <v>8.5</v>
      </c>
      <c r="P160" s="2" t="s">
        <v>2157</v>
      </c>
      <c r="Q160" s="2" t="s">
        <v>925</v>
      </c>
      <c r="R160" s="2" t="s">
        <v>926</v>
      </c>
      <c r="S160" s="2" t="s">
        <v>927</v>
      </c>
    </row>
    <row r="161" spans="11:19" x14ac:dyDescent="0.35">
      <c r="K161" s="2" t="s">
        <v>928</v>
      </c>
      <c r="L161" s="2" t="s">
        <v>929</v>
      </c>
      <c r="M161" s="4">
        <v>2021</v>
      </c>
      <c r="N161" s="4">
        <v>14</v>
      </c>
      <c r="O161" s="20">
        <v>8.5</v>
      </c>
      <c r="P161" s="2" t="s">
        <v>930</v>
      </c>
      <c r="Q161" s="2" t="s">
        <v>114</v>
      </c>
      <c r="R161" s="2" t="s">
        <v>931</v>
      </c>
      <c r="S161" s="2" t="s">
        <v>932</v>
      </c>
    </row>
    <row r="162" spans="11:19" x14ac:dyDescent="0.35">
      <c r="K162" s="2" t="s">
        <v>933</v>
      </c>
      <c r="L162" s="2" t="s">
        <v>934</v>
      </c>
      <c r="M162" s="4">
        <v>2021</v>
      </c>
      <c r="N162" s="4">
        <v>16</v>
      </c>
      <c r="O162" s="20">
        <v>8.4</v>
      </c>
      <c r="P162" s="2" t="s">
        <v>936</v>
      </c>
      <c r="Q162" s="2" t="s">
        <v>937</v>
      </c>
      <c r="R162" s="2" t="s">
        <v>938</v>
      </c>
      <c r="S162" s="2" t="s">
        <v>939</v>
      </c>
    </row>
    <row r="163" spans="11:19" x14ac:dyDescent="0.35">
      <c r="K163" s="2" t="s">
        <v>940</v>
      </c>
      <c r="L163" s="2" t="s">
        <v>941</v>
      </c>
      <c r="M163" s="4">
        <v>2024</v>
      </c>
      <c r="N163" s="4">
        <v>12</v>
      </c>
      <c r="O163" s="20">
        <v>8.4</v>
      </c>
      <c r="P163" s="2" t="s">
        <v>942</v>
      </c>
      <c r="Q163" s="2" t="s">
        <v>725</v>
      </c>
      <c r="R163" s="2" t="s">
        <v>943</v>
      </c>
      <c r="S163" s="2" t="s">
        <v>944</v>
      </c>
    </row>
    <row r="164" spans="11:19" x14ac:dyDescent="0.35">
      <c r="K164" s="2" t="s">
        <v>945</v>
      </c>
      <c r="L164" s="2" t="s">
        <v>946</v>
      </c>
      <c r="M164" s="4">
        <v>2012</v>
      </c>
      <c r="N164" s="4">
        <v>16</v>
      </c>
      <c r="O164" s="20">
        <v>8.4</v>
      </c>
      <c r="P164" s="2" t="s">
        <v>947</v>
      </c>
      <c r="Q164" s="2" t="s">
        <v>948</v>
      </c>
      <c r="R164" s="2" t="s">
        <v>949</v>
      </c>
      <c r="S164" s="2" t="s">
        <v>950</v>
      </c>
    </row>
    <row r="165" spans="11:19" x14ac:dyDescent="0.35">
      <c r="K165" s="2" t="s">
        <v>951</v>
      </c>
      <c r="L165" s="2" t="s">
        <v>952</v>
      </c>
      <c r="M165" s="4">
        <v>2022</v>
      </c>
      <c r="N165" s="4">
        <v>12</v>
      </c>
      <c r="O165" s="20">
        <v>8.4</v>
      </c>
      <c r="P165" s="2" t="s">
        <v>2100</v>
      </c>
      <c r="Q165" s="2" t="s">
        <v>954</v>
      </c>
      <c r="R165" s="2" t="s">
        <v>955</v>
      </c>
      <c r="S165" s="2" t="s">
        <v>956</v>
      </c>
    </row>
    <row r="166" spans="11:19" x14ac:dyDescent="0.35">
      <c r="K166" s="2" t="s">
        <v>957</v>
      </c>
      <c r="L166" s="2" t="s">
        <v>958</v>
      </c>
      <c r="M166" s="4">
        <v>2022</v>
      </c>
      <c r="N166" s="4">
        <v>16</v>
      </c>
      <c r="O166" s="20">
        <v>8.4</v>
      </c>
      <c r="P166" s="2" t="s">
        <v>2101</v>
      </c>
      <c r="Q166" s="2" t="s">
        <v>960</v>
      </c>
      <c r="R166" s="2" t="s">
        <v>961</v>
      </c>
      <c r="S166" s="2" t="s">
        <v>962</v>
      </c>
    </row>
    <row r="167" spans="11:19" x14ac:dyDescent="0.35">
      <c r="K167" s="2" t="s">
        <v>963</v>
      </c>
      <c r="L167" s="2" t="s">
        <v>964</v>
      </c>
      <c r="M167" s="4">
        <v>2017</v>
      </c>
      <c r="N167" s="4">
        <v>32</v>
      </c>
      <c r="O167" s="20">
        <v>8.4</v>
      </c>
      <c r="P167" s="2" t="s">
        <v>965</v>
      </c>
      <c r="Q167" s="2" t="s">
        <v>966</v>
      </c>
      <c r="R167" s="2" t="s">
        <v>967</v>
      </c>
      <c r="S167" s="2" t="s">
        <v>968</v>
      </c>
    </row>
    <row r="168" spans="11:19" x14ac:dyDescent="0.35">
      <c r="K168" s="2" t="s">
        <v>969</v>
      </c>
      <c r="L168" s="2" t="s">
        <v>970</v>
      </c>
      <c r="M168" s="4">
        <v>2020</v>
      </c>
      <c r="N168" s="4">
        <v>16</v>
      </c>
      <c r="O168" s="20">
        <v>8.4</v>
      </c>
      <c r="P168" s="2" t="s">
        <v>971</v>
      </c>
      <c r="Q168" s="2" t="s">
        <v>26</v>
      </c>
      <c r="R168" s="2" t="s">
        <v>972</v>
      </c>
      <c r="S168" s="2" t="s">
        <v>973</v>
      </c>
    </row>
    <row r="169" spans="11:19" x14ac:dyDescent="0.35">
      <c r="K169" s="2" t="s">
        <v>974</v>
      </c>
      <c r="L169" s="2" t="s">
        <v>975</v>
      </c>
      <c r="M169" s="4">
        <v>2018</v>
      </c>
      <c r="N169" s="4">
        <v>12</v>
      </c>
      <c r="O169" s="20">
        <v>8.4</v>
      </c>
      <c r="P169" s="2" t="s">
        <v>2158</v>
      </c>
      <c r="Q169" s="2" t="s">
        <v>2061</v>
      </c>
      <c r="R169" s="2" t="s">
        <v>2061</v>
      </c>
      <c r="S169" s="2" t="s">
        <v>2061</v>
      </c>
    </row>
    <row r="170" spans="11:19" x14ac:dyDescent="0.35">
      <c r="K170" s="2" t="s">
        <v>977</v>
      </c>
      <c r="L170" s="2" t="s">
        <v>978</v>
      </c>
      <c r="M170" s="4">
        <v>2021</v>
      </c>
      <c r="N170" s="4">
        <v>16</v>
      </c>
      <c r="O170" s="20">
        <v>8.4</v>
      </c>
      <c r="P170" s="2" t="s">
        <v>979</v>
      </c>
      <c r="Q170" s="2" t="s">
        <v>725</v>
      </c>
      <c r="R170" s="2" t="s">
        <v>980</v>
      </c>
      <c r="S170" s="2" t="s">
        <v>981</v>
      </c>
    </row>
    <row r="171" spans="11:19" x14ac:dyDescent="0.35">
      <c r="K171" s="2" t="s">
        <v>982</v>
      </c>
      <c r="L171" s="2" t="s">
        <v>983</v>
      </c>
      <c r="M171" s="4">
        <v>2017</v>
      </c>
      <c r="N171" s="4">
        <v>16</v>
      </c>
      <c r="O171" s="20">
        <v>8.4</v>
      </c>
      <c r="P171" s="2" t="s">
        <v>984</v>
      </c>
      <c r="Q171" s="2" t="s">
        <v>985</v>
      </c>
      <c r="R171" s="2" t="s">
        <v>986</v>
      </c>
      <c r="S171" s="2" t="s">
        <v>987</v>
      </c>
    </row>
    <row r="172" spans="11:19" x14ac:dyDescent="0.35">
      <c r="K172" s="2" t="s">
        <v>988</v>
      </c>
      <c r="L172" s="2" t="s">
        <v>989</v>
      </c>
      <c r="M172" s="4">
        <v>2019</v>
      </c>
      <c r="N172" s="4">
        <v>16</v>
      </c>
      <c r="O172" s="20">
        <v>8.4</v>
      </c>
      <c r="P172" s="2" t="s">
        <v>990</v>
      </c>
      <c r="Q172" s="2" t="s">
        <v>991</v>
      </c>
      <c r="R172" s="2" t="s">
        <v>992</v>
      </c>
      <c r="S172" s="2" t="s">
        <v>993</v>
      </c>
    </row>
    <row r="173" spans="11:19" x14ac:dyDescent="0.35">
      <c r="K173" s="2" t="s">
        <v>994</v>
      </c>
      <c r="L173" s="2" t="s">
        <v>995</v>
      </c>
      <c r="M173" s="4">
        <v>2022</v>
      </c>
      <c r="N173" s="4">
        <v>16</v>
      </c>
      <c r="O173" s="20">
        <v>8.4</v>
      </c>
      <c r="P173" s="2" t="s">
        <v>2159</v>
      </c>
      <c r="Q173" s="2" t="s">
        <v>997</v>
      </c>
      <c r="R173" s="2" t="s">
        <v>998</v>
      </c>
      <c r="S173" s="2" t="s">
        <v>999</v>
      </c>
    </row>
    <row r="174" spans="11:19" x14ac:dyDescent="0.35">
      <c r="K174" s="2" t="s">
        <v>1000</v>
      </c>
      <c r="L174" s="2" t="s">
        <v>1001</v>
      </c>
      <c r="M174" s="4">
        <v>2015</v>
      </c>
      <c r="N174" s="4">
        <v>16</v>
      </c>
      <c r="O174" s="20">
        <v>8.4</v>
      </c>
      <c r="P174" s="2" t="s">
        <v>2102</v>
      </c>
      <c r="Q174" s="2" t="s">
        <v>1003</v>
      </c>
      <c r="R174" s="2" t="s">
        <v>1004</v>
      </c>
      <c r="S174" s="2" t="s">
        <v>1005</v>
      </c>
    </row>
    <row r="175" spans="11:19" x14ac:dyDescent="0.35">
      <c r="K175" s="2" t="s">
        <v>1006</v>
      </c>
      <c r="L175" s="2" t="s">
        <v>1007</v>
      </c>
      <c r="M175" s="4">
        <v>2024</v>
      </c>
      <c r="N175" s="4">
        <v>6</v>
      </c>
      <c r="O175" s="20">
        <v>8.5</v>
      </c>
      <c r="P175" s="2" t="s">
        <v>2103</v>
      </c>
      <c r="Q175" s="2" t="s">
        <v>1009</v>
      </c>
      <c r="R175" s="2" t="s">
        <v>1010</v>
      </c>
      <c r="S175" s="2" t="s">
        <v>1011</v>
      </c>
    </row>
    <row r="176" spans="11:19" x14ac:dyDescent="0.35">
      <c r="K176" s="2" t="s">
        <v>1012</v>
      </c>
      <c r="L176" s="2" t="s">
        <v>1013</v>
      </c>
      <c r="M176" s="4">
        <v>2012</v>
      </c>
      <c r="N176" s="4">
        <v>20</v>
      </c>
      <c r="O176" s="20">
        <v>8.4</v>
      </c>
      <c r="P176" s="2" t="s">
        <v>1014</v>
      </c>
      <c r="Q176" s="2" t="s">
        <v>1015</v>
      </c>
      <c r="R176" s="2" t="s">
        <v>1016</v>
      </c>
      <c r="S176" s="2" t="s">
        <v>1017</v>
      </c>
    </row>
    <row r="177" spans="11:19" x14ac:dyDescent="0.35">
      <c r="K177" s="2" t="s">
        <v>1018</v>
      </c>
      <c r="L177" s="2" t="s">
        <v>1019</v>
      </c>
      <c r="M177" s="4">
        <v>2020</v>
      </c>
      <c r="N177" s="4">
        <v>12</v>
      </c>
      <c r="O177" s="20">
        <v>8.4</v>
      </c>
      <c r="P177" s="2" t="s">
        <v>2104</v>
      </c>
      <c r="Q177" s="2" t="s">
        <v>985</v>
      </c>
      <c r="R177" s="2" t="s">
        <v>1021</v>
      </c>
      <c r="S177" s="2" t="s">
        <v>1022</v>
      </c>
    </row>
    <row r="178" spans="11:19" x14ac:dyDescent="0.35">
      <c r="K178" s="2" t="s">
        <v>1023</v>
      </c>
      <c r="L178" s="2" t="s">
        <v>1024</v>
      </c>
      <c r="M178" s="4">
        <v>2022</v>
      </c>
      <c r="N178" s="4">
        <v>16</v>
      </c>
      <c r="O178" s="20">
        <v>8.4</v>
      </c>
      <c r="P178" s="2" t="s">
        <v>2105</v>
      </c>
      <c r="Q178" s="2" t="s">
        <v>409</v>
      </c>
      <c r="R178" s="2" t="s">
        <v>1026</v>
      </c>
      <c r="S178" s="2" t="s">
        <v>1027</v>
      </c>
    </row>
    <row r="179" spans="11:19" x14ac:dyDescent="0.35">
      <c r="K179" s="2" t="s">
        <v>1028</v>
      </c>
      <c r="L179" s="2" t="s">
        <v>1029</v>
      </c>
      <c r="M179" s="4">
        <v>2019</v>
      </c>
      <c r="N179" s="4">
        <v>16</v>
      </c>
      <c r="O179" s="20">
        <v>8.4</v>
      </c>
      <c r="P179" s="2" t="s">
        <v>1030</v>
      </c>
      <c r="Q179" s="2" t="s">
        <v>1031</v>
      </c>
      <c r="R179" s="2" t="s">
        <v>1032</v>
      </c>
      <c r="S179" s="2" t="s">
        <v>1033</v>
      </c>
    </row>
    <row r="180" spans="11:19" x14ac:dyDescent="0.35">
      <c r="K180" s="2" t="s">
        <v>1034</v>
      </c>
      <c r="L180" s="2" t="s">
        <v>1035</v>
      </c>
      <c r="M180" s="4">
        <v>2017</v>
      </c>
      <c r="N180" s="4">
        <v>16</v>
      </c>
      <c r="O180" s="20">
        <v>8.4</v>
      </c>
      <c r="P180" s="2" t="s">
        <v>1036</v>
      </c>
      <c r="Q180" s="2" t="s">
        <v>1037</v>
      </c>
      <c r="R180" s="2" t="s">
        <v>1038</v>
      </c>
      <c r="S180" s="2" t="s">
        <v>1039</v>
      </c>
    </row>
    <row r="181" spans="11:19" x14ac:dyDescent="0.35">
      <c r="K181" s="2" t="s">
        <v>1040</v>
      </c>
      <c r="L181" s="2" t="s">
        <v>1041</v>
      </c>
      <c r="M181" s="4">
        <v>2020</v>
      </c>
      <c r="N181" s="4">
        <v>8</v>
      </c>
      <c r="O181" s="20">
        <v>8.4</v>
      </c>
      <c r="P181" s="2" t="s">
        <v>2106</v>
      </c>
      <c r="Q181" s="2" t="s">
        <v>1043</v>
      </c>
      <c r="R181" s="2" t="s">
        <v>1044</v>
      </c>
      <c r="S181" s="2" t="s">
        <v>1045</v>
      </c>
    </row>
    <row r="182" spans="11:19" x14ac:dyDescent="0.35">
      <c r="K182" s="2" t="s">
        <v>1046</v>
      </c>
      <c r="L182" s="2" t="s">
        <v>1047</v>
      </c>
      <c r="M182" s="4">
        <v>2013</v>
      </c>
      <c r="N182" s="4">
        <v>20</v>
      </c>
      <c r="O182" s="20">
        <v>8.4</v>
      </c>
      <c r="P182" s="2" t="s">
        <v>1048</v>
      </c>
      <c r="Q182" s="2" t="s">
        <v>1049</v>
      </c>
      <c r="R182" s="2" t="s">
        <v>1050</v>
      </c>
      <c r="S182" s="2" t="s">
        <v>1051</v>
      </c>
    </row>
    <row r="183" spans="11:19" x14ac:dyDescent="0.35">
      <c r="K183" s="2" t="s">
        <v>1052</v>
      </c>
      <c r="L183" s="2" t="s">
        <v>1053</v>
      </c>
      <c r="M183" s="4">
        <v>2019</v>
      </c>
      <c r="N183" s="4">
        <v>32</v>
      </c>
      <c r="O183" s="20">
        <v>8.4</v>
      </c>
      <c r="P183" s="2" t="s">
        <v>2107</v>
      </c>
      <c r="Q183" s="2" t="s">
        <v>1055</v>
      </c>
      <c r="R183" s="2" t="s">
        <v>1056</v>
      </c>
      <c r="S183" s="2" t="s">
        <v>1057</v>
      </c>
    </row>
    <row r="184" spans="11:19" x14ac:dyDescent="0.35">
      <c r="K184" s="2" t="s">
        <v>1058</v>
      </c>
      <c r="L184" s="2" t="s">
        <v>1059</v>
      </c>
      <c r="M184" s="4">
        <v>2014</v>
      </c>
      <c r="N184" s="4">
        <v>20</v>
      </c>
      <c r="O184" s="20">
        <v>8.4</v>
      </c>
      <c r="P184" s="2" t="s">
        <v>2160</v>
      </c>
      <c r="Q184" s="2" t="s">
        <v>2061</v>
      </c>
      <c r="R184" s="2" t="s">
        <v>2061</v>
      </c>
      <c r="S184" s="2" t="s">
        <v>2061</v>
      </c>
    </row>
    <row r="185" spans="11:19" x14ac:dyDescent="0.35">
      <c r="K185" s="2" t="s">
        <v>1061</v>
      </c>
      <c r="L185" s="2" t="s">
        <v>1062</v>
      </c>
      <c r="M185" s="4">
        <v>2019</v>
      </c>
      <c r="N185" s="4">
        <v>32</v>
      </c>
      <c r="O185" s="20">
        <v>8.4</v>
      </c>
      <c r="P185" s="2" t="s">
        <v>2108</v>
      </c>
      <c r="Q185" s="2" t="s">
        <v>1064</v>
      </c>
      <c r="R185" s="2" t="s">
        <v>1065</v>
      </c>
      <c r="S185" s="2" t="s">
        <v>1066</v>
      </c>
    </row>
    <row r="186" spans="11:19" x14ac:dyDescent="0.35">
      <c r="K186" s="2" t="s">
        <v>1067</v>
      </c>
      <c r="L186" s="2" t="s">
        <v>1068</v>
      </c>
      <c r="M186" s="4">
        <v>2022</v>
      </c>
      <c r="N186" s="4">
        <v>16</v>
      </c>
      <c r="O186" s="20">
        <v>8.4</v>
      </c>
      <c r="P186" s="2" t="s">
        <v>2109</v>
      </c>
      <c r="Q186" s="2" t="s">
        <v>1070</v>
      </c>
      <c r="R186" s="2" t="s">
        <v>1071</v>
      </c>
      <c r="S186" s="2" t="s">
        <v>1072</v>
      </c>
    </row>
    <row r="187" spans="11:19" x14ac:dyDescent="0.35">
      <c r="K187" s="2" t="s">
        <v>1073</v>
      </c>
      <c r="L187" s="2" t="s">
        <v>1074</v>
      </c>
      <c r="M187" s="4">
        <v>2020</v>
      </c>
      <c r="N187" s="4">
        <v>16</v>
      </c>
      <c r="O187" s="20">
        <v>8.4</v>
      </c>
      <c r="P187" s="2" t="s">
        <v>2110</v>
      </c>
      <c r="Q187" s="2" t="s">
        <v>1076</v>
      </c>
      <c r="R187" s="2" t="s">
        <v>1077</v>
      </c>
      <c r="S187" s="2" t="s">
        <v>1078</v>
      </c>
    </row>
    <row r="188" spans="11:19" x14ac:dyDescent="0.35">
      <c r="K188" s="2" t="s">
        <v>1079</v>
      </c>
      <c r="L188" s="2" t="s">
        <v>1080</v>
      </c>
      <c r="M188" s="4">
        <v>2019</v>
      </c>
      <c r="N188" s="4">
        <v>16</v>
      </c>
      <c r="O188" s="20">
        <v>8.4</v>
      </c>
      <c r="P188" s="2" t="s">
        <v>2111</v>
      </c>
      <c r="Q188" s="2" t="s">
        <v>991</v>
      </c>
      <c r="R188" s="2" t="s">
        <v>1082</v>
      </c>
      <c r="S188" s="2" t="s">
        <v>1083</v>
      </c>
    </row>
    <row r="189" spans="11:19" x14ac:dyDescent="0.35">
      <c r="K189" s="2" t="s">
        <v>1084</v>
      </c>
      <c r="L189" s="2" t="s">
        <v>1085</v>
      </c>
      <c r="M189" s="4">
        <v>2017</v>
      </c>
      <c r="N189" s="4">
        <v>14</v>
      </c>
      <c r="O189" s="20">
        <v>8.4</v>
      </c>
      <c r="P189" s="2" t="s">
        <v>2161</v>
      </c>
      <c r="Q189" s="2" t="s">
        <v>1087</v>
      </c>
      <c r="R189" s="2" t="s">
        <v>1088</v>
      </c>
      <c r="S189" s="2" t="s">
        <v>1089</v>
      </c>
    </row>
    <row r="190" spans="11:19" x14ac:dyDescent="0.35">
      <c r="K190" s="2" t="s">
        <v>1090</v>
      </c>
      <c r="L190" s="2" t="s">
        <v>1091</v>
      </c>
      <c r="M190" s="4">
        <v>2013</v>
      </c>
      <c r="N190" s="4">
        <v>16</v>
      </c>
      <c r="O190" s="20">
        <v>8.4</v>
      </c>
      <c r="P190" s="2" t="s">
        <v>2112</v>
      </c>
      <c r="Q190" s="2" t="s">
        <v>1093</v>
      </c>
      <c r="R190" s="2" t="s">
        <v>1094</v>
      </c>
      <c r="S190" s="2" t="s">
        <v>1095</v>
      </c>
    </row>
    <row r="191" spans="11:19" x14ac:dyDescent="0.35">
      <c r="K191" s="2" t="s">
        <v>1096</v>
      </c>
      <c r="L191" s="2" t="s">
        <v>1097</v>
      </c>
      <c r="M191" s="4">
        <v>2022</v>
      </c>
      <c r="N191" s="4">
        <v>16</v>
      </c>
      <c r="O191" s="20">
        <v>8.4</v>
      </c>
      <c r="P191" s="2" t="s">
        <v>2113</v>
      </c>
      <c r="Q191" s="2" t="s">
        <v>1099</v>
      </c>
      <c r="R191" s="2" t="s">
        <v>1100</v>
      </c>
      <c r="S191" s="2" t="s">
        <v>1101</v>
      </c>
    </row>
    <row r="192" spans="11:19" x14ac:dyDescent="0.35">
      <c r="K192" s="2" t="s">
        <v>1102</v>
      </c>
      <c r="L192" s="2" t="s">
        <v>1103</v>
      </c>
      <c r="M192" s="4">
        <v>2022</v>
      </c>
      <c r="N192" s="4">
        <v>8</v>
      </c>
      <c r="O192" s="20">
        <v>8.4</v>
      </c>
      <c r="P192" s="2" t="s">
        <v>1104</v>
      </c>
      <c r="Q192" s="2" t="s">
        <v>1105</v>
      </c>
      <c r="R192" s="2" t="s">
        <v>1106</v>
      </c>
      <c r="S192" s="2" t="s">
        <v>1107</v>
      </c>
    </row>
    <row r="193" spans="11:19" x14ac:dyDescent="0.35">
      <c r="K193" s="2" t="s">
        <v>1108</v>
      </c>
      <c r="L193" s="2" t="s">
        <v>1109</v>
      </c>
      <c r="M193" s="4">
        <v>2021</v>
      </c>
      <c r="N193" s="4">
        <v>16</v>
      </c>
      <c r="O193" s="20">
        <v>8.4</v>
      </c>
      <c r="P193" s="2" t="s">
        <v>1110</v>
      </c>
      <c r="Q193" s="2" t="s">
        <v>1111</v>
      </c>
      <c r="R193" s="2" t="s">
        <v>1112</v>
      </c>
      <c r="S193" s="2" t="s">
        <v>1113</v>
      </c>
    </row>
    <row r="194" spans="11:19" x14ac:dyDescent="0.35">
      <c r="K194" s="2" t="s">
        <v>1114</v>
      </c>
      <c r="L194" s="2" t="s">
        <v>1115</v>
      </c>
      <c r="M194" s="4">
        <v>2022</v>
      </c>
      <c r="N194" s="4">
        <v>14</v>
      </c>
      <c r="O194" s="20">
        <v>8.4</v>
      </c>
      <c r="P194" s="2" t="s">
        <v>2114</v>
      </c>
      <c r="Q194" s="2" t="s">
        <v>1117</v>
      </c>
      <c r="R194" s="2" t="s">
        <v>1118</v>
      </c>
      <c r="S194" s="2" t="s">
        <v>1119</v>
      </c>
    </row>
    <row r="195" spans="11:19" x14ac:dyDescent="0.35">
      <c r="K195" s="2" t="s">
        <v>1120</v>
      </c>
      <c r="L195" s="2" t="s">
        <v>1121</v>
      </c>
      <c r="M195" s="4">
        <v>2019</v>
      </c>
      <c r="N195" s="4">
        <v>16</v>
      </c>
      <c r="O195" s="20">
        <v>8.4</v>
      </c>
      <c r="P195" s="2" t="s">
        <v>1122</v>
      </c>
      <c r="Q195" s="2" t="s">
        <v>1123</v>
      </c>
      <c r="R195" s="2" t="s">
        <v>1124</v>
      </c>
      <c r="S195" s="2" t="s">
        <v>1125</v>
      </c>
    </row>
    <row r="196" spans="11:19" x14ac:dyDescent="0.35">
      <c r="K196" s="2" t="s">
        <v>1126</v>
      </c>
      <c r="L196" s="2" t="s">
        <v>1127</v>
      </c>
      <c r="M196" s="4">
        <v>2021</v>
      </c>
      <c r="N196" s="4">
        <v>16</v>
      </c>
      <c r="O196" s="20">
        <v>8.4</v>
      </c>
      <c r="P196" s="2" t="s">
        <v>1128</v>
      </c>
      <c r="Q196" s="2" t="s">
        <v>1129</v>
      </c>
      <c r="R196" s="2" t="s">
        <v>1130</v>
      </c>
      <c r="S196" s="2" t="s">
        <v>1131</v>
      </c>
    </row>
    <row r="197" spans="11:19" x14ac:dyDescent="0.35">
      <c r="K197" s="2" t="s">
        <v>1132</v>
      </c>
      <c r="L197" s="2" t="s">
        <v>1133</v>
      </c>
      <c r="M197" s="4">
        <v>2018</v>
      </c>
      <c r="N197" s="4">
        <v>14</v>
      </c>
      <c r="O197" s="20">
        <v>8.4</v>
      </c>
      <c r="P197" s="2" t="s">
        <v>1134</v>
      </c>
      <c r="Q197" s="2" t="s">
        <v>352</v>
      </c>
      <c r="R197" s="2" t="s">
        <v>1135</v>
      </c>
      <c r="S197" s="2" t="s">
        <v>1136</v>
      </c>
    </row>
    <row r="198" spans="11:19" x14ac:dyDescent="0.35">
      <c r="K198" s="2" t="s">
        <v>1137</v>
      </c>
      <c r="L198" s="2" t="s">
        <v>1138</v>
      </c>
      <c r="M198" s="4">
        <v>2016</v>
      </c>
      <c r="N198" s="4">
        <v>20</v>
      </c>
      <c r="O198" s="20">
        <v>8.4</v>
      </c>
      <c r="P198" s="2" t="s">
        <v>2115</v>
      </c>
      <c r="Q198" s="2" t="s">
        <v>725</v>
      </c>
      <c r="R198" s="2" t="s">
        <v>1140</v>
      </c>
      <c r="S198" s="2" t="s">
        <v>1141</v>
      </c>
    </row>
    <row r="199" spans="11:19" x14ac:dyDescent="0.35">
      <c r="K199" s="2" t="s">
        <v>1142</v>
      </c>
      <c r="L199" s="2" t="s">
        <v>1143</v>
      </c>
      <c r="M199" s="4">
        <v>2018</v>
      </c>
      <c r="N199" s="4">
        <v>32</v>
      </c>
      <c r="O199" s="20">
        <v>8.4</v>
      </c>
      <c r="P199" s="2" t="s">
        <v>1144</v>
      </c>
      <c r="Q199" s="2" t="s">
        <v>1145</v>
      </c>
      <c r="R199" s="2" t="s">
        <v>1146</v>
      </c>
      <c r="S199" s="2" t="s">
        <v>1147</v>
      </c>
    </row>
    <row r="200" spans="11:19" x14ac:dyDescent="0.35">
      <c r="K200" s="2" t="s">
        <v>1148</v>
      </c>
      <c r="L200" s="2" t="s">
        <v>1149</v>
      </c>
      <c r="M200" s="4">
        <v>2018</v>
      </c>
      <c r="N200" s="4">
        <v>32</v>
      </c>
      <c r="O200" s="20">
        <v>8.4</v>
      </c>
      <c r="P200" s="2" t="s">
        <v>1150</v>
      </c>
      <c r="Q200" s="2" t="s">
        <v>1151</v>
      </c>
      <c r="R200" s="2" t="s">
        <v>1152</v>
      </c>
      <c r="S200" s="2" t="s">
        <v>1153</v>
      </c>
    </row>
    <row r="201" spans="11:19" x14ac:dyDescent="0.35">
      <c r="K201" s="2" t="s">
        <v>1154</v>
      </c>
      <c r="L201" s="2" t="s">
        <v>1155</v>
      </c>
      <c r="M201" s="4">
        <v>2022</v>
      </c>
      <c r="N201" s="4">
        <v>16</v>
      </c>
      <c r="O201" s="20">
        <v>8.4</v>
      </c>
      <c r="P201" s="2" t="s">
        <v>1156</v>
      </c>
      <c r="Q201" s="2" t="s">
        <v>1157</v>
      </c>
      <c r="R201" s="2" t="s">
        <v>1158</v>
      </c>
      <c r="S201" s="2" t="s">
        <v>1159</v>
      </c>
    </row>
    <row r="202" spans="11:19" x14ac:dyDescent="0.35">
      <c r="K202" s="2" t="s">
        <v>1160</v>
      </c>
      <c r="L202" s="2" t="s">
        <v>1161</v>
      </c>
      <c r="M202" s="4">
        <v>2019</v>
      </c>
      <c r="N202" s="4">
        <v>32</v>
      </c>
      <c r="O202" s="20">
        <v>8.4</v>
      </c>
      <c r="P202" s="2" t="s">
        <v>1162</v>
      </c>
      <c r="Q202" s="2" t="s">
        <v>1163</v>
      </c>
      <c r="R202" s="2" t="s">
        <v>1164</v>
      </c>
      <c r="S202" s="2" t="s">
        <v>1165</v>
      </c>
    </row>
    <row r="203" spans="11:19" x14ac:dyDescent="0.35">
      <c r="K203" s="2" t="s">
        <v>1166</v>
      </c>
      <c r="L203" s="2" t="s">
        <v>1167</v>
      </c>
      <c r="M203" s="4">
        <v>2019</v>
      </c>
      <c r="N203" s="4">
        <v>16</v>
      </c>
      <c r="O203" s="20">
        <v>8.4</v>
      </c>
      <c r="P203" s="2" t="s">
        <v>1168</v>
      </c>
      <c r="Q203" s="2" t="s">
        <v>1169</v>
      </c>
      <c r="R203" s="2" t="s">
        <v>1170</v>
      </c>
      <c r="S203" s="2" t="s">
        <v>1171</v>
      </c>
    </row>
    <row r="204" spans="11:19" x14ac:dyDescent="0.35">
      <c r="K204" s="2" t="s">
        <v>1172</v>
      </c>
      <c r="L204" s="2" t="s">
        <v>1173</v>
      </c>
      <c r="M204" s="4">
        <v>2024</v>
      </c>
      <c r="N204" s="4">
        <v>12</v>
      </c>
      <c r="O204" s="20">
        <v>8.4</v>
      </c>
      <c r="P204" s="2" t="s">
        <v>1174</v>
      </c>
      <c r="Q204" s="2" t="s">
        <v>1175</v>
      </c>
      <c r="R204" s="2" t="s">
        <v>1176</v>
      </c>
      <c r="S204" s="2" t="s">
        <v>1177</v>
      </c>
    </row>
    <row r="205" spans="11:19" x14ac:dyDescent="0.35">
      <c r="K205" s="2" t="s">
        <v>1178</v>
      </c>
      <c r="L205" s="2" t="s">
        <v>1179</v>
      </c>
      <c r="M205" s="4">
        <v>2018</v>
      </c>
      <c r="N205" s="4">
        <v>16</v>
      </c>
      <c r="O205" s="20">
        <v>8.4</v>
      </c>
      <c r="P205" s="2" t="s">
        <v>1180</v>
      </c>
      <c r="Q205" s="2" t="s">
        <v>2061</v>
      </c>
      <c r="R205" s="2" t="s">
        <v>2061</v>
      </c>
      <c r="S205" s="2" t="s">
        <v>2061</v>
      </c>
    </row>
    <row r="206" spans="11:19" x14ac:dyDescent="0.35">
      <c r="K206" s="2" t="s">
        <v>1181</v>
      </c>
      <c r="L206" s="2" t="s">
        <v>1182</v>
      </c>
      <c r="M206" s="4">
        <v>2020</v>
      </c>
      <c r="N206" s="4">
        <v>16</v>
      </c>
      <c r="O206" s="20">
        <v>8.4</v>
      </c>
      <c r="P206" s="2" t="s">
        <v>1183</v>
      </c>
      <c r="Q206" s="2" t="s">
        <v>1184</v>
      </c>
      <c r="R206" s="2" t="s">
        <v>1185</v>
      </c>
      <c r="S206" s="2" t="s">
        <v>1186</v>
      </c>
    </row>
    <row r="207" spans="11:19" x14ac:dyDescent="0.35">
      <c r="K207" s="2" t="s">
        <v>1187</v>
      </c>
      <c r="L207" s="2" t="s">
        <v>1188</v>
      </c>
      <c r="M207" s="4">
        <v>2023</v>
      </c>
      <c r="N207" s="4">
        <v>10</v>
      </c>
      <c r="O207" s="20">
        <v>8.4</v>
      </c>
      <c r="P207" s="2" t="s">
        <v>1189</v>
      </c>
      <c r="Q207" s="2" t="s">
        <v>1190</v>
      </c>
      <c r="R207" s="2" t="s">
        <v>1191</v>
      </c>
      <c r="S207" s="2" t="s">
        <v>1192</v>
      </c>
    </row>
    <row r="208" spans="11:19" x14ac:dyDescent="0.35">
      <c r="K208" s="2" t="s">
        <v>1193</v>
      </c>
      <c r="L208" s="2" t="s">
        <v>1194</v>
      </c>
      <c r="M208" s="4">
        <v>2020</v>
      </c>
      <c r="N208" s="4">
        <v>16</v>
      </c>
      <c r="O208" s="20">
        <v>8.4</v>
      </c>
      <c r="P208" s="2" t="s">
        <v>1195</v>
      </c>
      <c r="Q208" s="2" t="s">
        <v>284</v>
      </c>
      <c r="R208" s="2" t="s">
        <v>1196</v>
      </c>
      <c r="S208" s="2" t="s">
        <v>1197</v>
      </c>
    </row>
    <row r="209" spans="11:19" x14ac:dyDescent="0.35">
      <c r="K209" s="2" t="s">
        <v>1198</v>
      </c>
      <c r="L209" s="2" t="s">
        <v>1199</v>
      </c>
      <c r="M209" s="4">
        <v>2023</v>
      </c>
      <c r="N209" s="4">
        <v>12</v>
      </c>
      <c r="O209" s="20">
        <v>8.4</v>
      </c>
      <c r="P209" s="2" t="s">
        <v>2116</v>
      </c>
      <c r="Q209" s="2" t="s">
        <v>725</v>
      </c>
      <c r="R209" s="2" t="s">
        <v>1201</v>
      </c>
      <c r="S209" s="2" t="s">
        <v>1202</v>
      </c>
    </row>
    <row r="210" spans="11:19" x14ac:dyDescent="0.35">
      <c r="K210" s="2" t="s">
        <v>1203</v>
      </c>
      <c r="L210" s="2" t="s">
        <v>1204</v>
      </c>
      <c r="M210" s="4">
        <v>2019</v>
      </c>
      <c r="N210" s="4">
        <v>16</v>
      </c>
      <c r="O210" s="20">
        <v>8.4</v>
      </c>
      <c r="P210" s="2" t="s">
        <v>1205</v>
      </c>
      <c r="Q210" s="2" t="s">
        <v>1206</v>
      </c>
      <c r="R210" s="2" t="s">
        <v>1207</v>
      </c>
      <c r="S210" s="2" t="s">
        <v>1208</v>
      </c>
    </row>
    <row r="211" spans="11:19" x14ac:dyDescent="0.35">
      <c r="K211" s="2" t="s">
        <v>1209</v>
      </c>
      <c r="L211" s="2" t="s">
        <v>1210</v>
      </c>
      <c r="M211" s="4">
        <v>2019</v>
      </c>
      <c r="N211" s="4">
        <v>32</v>
      </c>
      <c r="O211" s="20">
        <v>8.4</v>
      </c>
      <c r="P211" s="2" t="s">
        <v>1211</v>
      </c>
      <c r="Q211" s="2" t="s">
        <v>386</v>
      </c>
      <c r="R211" s="2" t="s">
        <v>1212</v>
      </c>
      <c r="S211" s="2" t="s">
        <v>1213</v>
      </c>
    </row>
    <row r="212" spans="11:19" x14ac:dyDescent="0.35">
      <c r="K212" s="2" t="s">
        <v>1214</v>
      </c>
      <c r="L212" s="2" t="s">
        <v>1215</v>
      </c>
      <c r="M212" s="4">
        <v>2022</v>
      </c>
      <c r="N212" s="4">
        <v>4</v>
      </c>
      <c r="O212" s="20">
        <v>8.4</v>
      </c>
      <c r="P212" s="2" t="s">
        <v>1216</v>
      </c>
      <c r="Q212" s="2" t="s">
        <v>1217</v>
      </c>
      <c r="R212" s="2" t="s">
        <v>1218</v>
      </c>
      <c r="S212" s="2" t="s">
        <v>1219</v>
      </c>
    </row>
    <row r="213" spans="11:19" x14ac:dyDescent="0.35">
      <c r="K213" s="2" t="s">
        <v>1220</v>
      </c>
      <c r="L213" s="2" t="s">
        <v>1221</v>
      </c>
      <c r="M213" s="4">
        <v>2011</v>
      </c>
      <c r="N213" s="4">
        <v>20</v>
      </c>
      <c r="O213" s="20">
        <v>8.4</v>
      </c>
      <c r="P213" s="2" t="s">
        <v>1222</v>
      </c>
      <c r="Q213" s="2" t="s">
        <v>1223</v>
      </c>
      <c r="R213" s="2" t="s">
        <v>1224</v>
      </c>
      <c r="S213" s="2" t="s">
        <v>1225</v>
      </c>
    </row>
    <row r="214" spans="11:19" x14ac:dyDescent="0.35">
      <c r="K214" s="2" t="s">
        <v>1226</v>
      </c>
      <c r="L214" s="2" t="s">
        <v>1227</v>
      </c>
      <c r="M214" s="4">
        <v>2019</v>
      </c>
      <c r="N214" s="4">
        <v>16</v>
      </c>
      <c r="O214" s="20">
        <v>8.3000000000000007</v>
      </c>
      <c r="P214" s="2" t="s">
        <v>1229</v>
      </c>
      <c r="Q214" s="2" t="s">
        <v>1230</v>
      </c>
      <c r="R214" s="2" t="s">
        <v>1231</v>
      </c>
      <c r="S214" s="2" t="s">
        <v>1232</v>
      </c>
    </row>
    <row r="215" spans="11:19" x14ac:dyDescent="0.35">
      <c r="K215" s="2" t="s">
        <v>1233</v>
      </c>
      <c r="L215" s="2" t="s">
        <v>1234</v>
      </c>
      <c r="M215" s="4">
        <v>2018</v>
      </c>
      <c r="N215" s="4">
        <v>16</v>
      </c>
      <c r="O215" s="20">
        <v>8.3000000000000007</v>
      </c>
      <c r="P215" s="2" t="s">
        <v>2117</v>
      </c>
      <c r="Q215" s="2" t="s">
        <v>1236</v>
      </c>
      <c r="R215" s="2" t="s">
        <v>1237</v>
      </c>
      <c r="S215" s="2" t="s">
        <v>1238</v>
      </c>
    </row>
    <row r="216" spans="11:19" x14ac:dyDescent="0.35">
      <c r="K216" s="2" t="s">
        <v>1239</v>
      </c>
      <c r="L216" s="2" t="s">
        <v>1240</v>
      </c>
      <c r="M216" s="4">
        <v>2021</v>
      </c>
      <c r="N216" s="4">
        <v>12</v>
      </c>
      <c r="O216" s="20">
        <v>8.3000000000000007</v>
      </c>
      <c r="P216" s="2" t="s">
        <v>1241</v>
      </c>
      <c r="Q216" s="2" t="s">
        <v>1242</v>
      </c>
      <c r="R216" s="2" t="s">
        <v>1243</v>
      </c>
      <c r="S216" s="2" t="s">
        <v>1244</v>
      </c>
    </row>
    <row r="217" spans="11:19" x14ac:dyDescent="0.35">
      <c r="K217" s="2" t="s">
        <v>1245</v>
      </c>
      <c r="L217" s="2" t="s">
        <v>1246</v>
      </c>
      <c r="M217" s="4">
        <v>2020</v>
      </c>
      <c r="N217" s="4">
        <v>16</v>
      </c>
      <c r="O217" s="20">
        <v>8.3000000000000007</v>
      </c>
      <c r="P217" s="2" t="s">
        <v>2118</v>
      </c>
      <c r="Q217" s="2" t="s">
        <v>1248</v>
      </c>
      <c r="R217" s="2" t="s">
        <v>1249</v>
      </c>
      <c r="S217" s="2" t="s">
        <v>1250</v>
      </c>
    </row>
    <row r="218" spans="11:19" x14ac:dyDescent="0.35">
      <c r="K218" s="2" t="s">
        <v>1251</v>
      </c>
      <c r="L218" s="2" t="s">
        <v>1252</v>
      </c>
      <c r="M218" s="4">
        <v>2022</v>
      </c>
      <c r="N218" s="4">
        <v>6</v>
      </c>
      <c r="O218" s="20">
        <v>8.3000000000000007</v>
      </c>
      <c r="P218" s="2" t="s">
        <v>1253</v>
      </c>
      <c r="Q218" s="2" t="s">
        <v>2061</v>
      </c>
      <c r="R218" s="2" t="s">
        <v>2061</v>
      </c>
      <c r="S218" s="2" t="s">
        <v>2061</v>
      </c>
    </row>
    <row r="219" spans="11:19" x14ac:dyDescent="0.35">
      <c r="K219" s="2" t="s">
        <v>1254</v>
      </c>
      <c r="L219" s="2" t="s">
        <v>1255</v>
      </c>
      <c r="M219" s="4">
        <v>2021</v>
      </c>
      <c r="N219" s="4">
        <v>8</v>
      </c>
      <c r="O219" s="20">
        <v>8.3000000000000007</v>
      </c>
      <c r="P219" s="2" t="s">
        <v>1256</v>
      </c>
      <c r="Q219" s="2" t="s">
        <v>1257</v>
      </c>
      <c r="R219" s="2" t="s">
        <v>1258</v>
      </c>
      <c r="S219" s="2" t="s">
        <v>1259</v>
      </c>
    </row>
    <row r="220" spans="11:19" x14ac:dyDescent="0.35">
      <c r="K220" s="2" t="s">
        <v>1260</v>
      </c>
      <c r="L220" s="2" t="s">
        <v>1261</v>
      </c>
      <c r="M220" s="4">
        <v>2013</v>
      </c>
      <c r="N220" s="4">
        <v>20</v>
      </c>
      <c r="O220" s="20">
        <v>8.3000000000000007</v>
      </c>
      <c r="P220" s="2" t="s">
        <v>1262</v>
      </c>
      <c r="Q220" s="2" t="s">
        <v>960</v>
      </c>
      <c r="R220" s="2" t="s">
        <v>1263</v>
      </c>
      <c r="S220" s="2" t="s">
        <v>1264</v>
      </c>
    </row>
    <row r="221" spans="11:19" x14ac:dyDescent="0.35">
      <c r="K221" s="2" t="s">
        <v>1265</v>
      </c>
      <c r="L221" s="2" t="s">
        <v>1266</v>
      </c>
      <c r="M221" s="4">
        <v>2021</v>
      </c>
      <c r="N221" s="4">
        <v>1</v>
      </c>
      <c r="O221" s="20">
        <v>8.3000000000000007</v>
      </c>
      <c r="P221" s="2" t="s">
        <v>1267</v>
      </c>
      <c r="Q221" s="2" t="s">
        <v>1268</v>
      </c>
      <c r="R221" s="2" t="s">
        <v>1269</v>
      </c>
      <c r="S221" s="2" t="s">
        <v>1270</v>
      </c>
    </row>
    <row r="222" spans="11:19" x14ac:dyDescent="0.35">
      <c r="K222" s="2" t="s">
        <v>1271</v>
      </c>
      <c r="L222" s="2" t="s">
        <v>1272</v>
      </c>
      <c r="M222" s="4">
        <v>2022</v>
      </c>
      <c r="N222" s="4">
        <v>16</v>
      </c>
      <c r="O222" s="20">
        <v>8.3000000000000007</v>
      </c>
      <c r="P222" s="2" t="s">
        <v>1273</v>
      </c>
      <c r="Q222" s="2" t="s">
        <v>319</v>
      </c>
      <c r="R222" s="2" t="s">
        <v>1274</v>
      </c>
      <c r="S222" s="2" t="s">
        <v>1275</v>
      </c>
    </row>
    <row r="223" spans="11:19" x14ac:dyDescent="0.35">
      <c r="K223" s="2" t="s">
        <v>1276</v>
      </c>
      <c r="L223" s="2" t="s">
        <v>1277</v>
      </c>
      <c r="M223" s="4">
        <v>2020</v>
      </c>
      <c r="N223" s="4">
        <v>16</v>
      </c>
      <c r="O223" s="20">
        <v>8.3000000000000007</v>
      </c>
      <c r="P223" s="2" t="s">
        <v>1278</v>
      </c>
      <c r="Q223" s="2" t="s">
        <v>1157</v>
      </c>
      <c r="R223" s="2" t="s">
        <v>1279</v>
      </c>
      <c r="S223" s="2" t="s">
        <v>1280</v>
      </c>
    </row>
    <row r="224" spans="11:19" x14ac:dyDescent="0.35">
      <c r="K224" s="2" t="s">
        <v>1281</v>
      </c>
      <c r="L224" s="2" t="s">
        <v>1282</v>
      </c>
      <c r="M224" s="4">
        <v>2015</v>
      </c>
      <c r="N224" s="4">
        <v>16</v>
      </c>
      <c r="O224" s="20">
        <v>8.3000000000000007</v>
      </c>
      <c r="P224" s="2" t="s">
        <v>2119</v>
      </c>
      <c r="Q224" s="2" t="s">
        <v>1284</v>
      </c>
      <c r="R224" s="2" t="s">
        <v>1285</v>
      </c>
      <c r="S224" s="2" t="s">
        <v>1286</v>
      </c>
    </row>
    <row r="225" spans="11:19" x14ac:dyDescent="0.35">
      <c r="K225" s="2" t="s">
        <v>1287</v>
      </c>
      <c r="L225" s="2" t="s">
        <v>1288</v>
      </c>
      <c r="M225" s="4">
        <v>2014</v>
      </c>
      <c r="N225" s="4">
        <v>16</v>
      </c>
      <c r="O225" s="20">
        <v>8.3000000000000007</v>
      </c>
      <c r="P225" s="2" t="s">
        <v>1289</v>
      </c>
      <c r="Q225" s="2" t="s">
        <v>1290</v>
      </c>
      <c r="R225" s="2" t="s">
        <v>1291</v>
      </c>
      <c r="S225" s="2" t="s">
        <v>1292</v>
      </c>
    </row>
    <row r="226" spans="11:19" x14ac:dyDescent="0.35">
      <c r="K226" s="2" t="s">
        <v>1293</v>
      </c>
      <c r="L226" s="2" t="s">
        <v>1294</v>
      </c>
      <c r="M226" s="4">
        <v>2016</v>
      </c>
      <c r="N226" s="4">
        <v>20</v>
      </c>
      <c r="O226" s="20">
        <v>8.3000000000000007</v>
      </c>
      <c r="P226" s="2" t="s">
        <v>1295</v>
      </c>
      <c r="Q226" s="2" t="s">
        <v>1296</v>
      </c>
      <c r="R226" s="2" t="s">
        <v>1297</v>
      </c>
      <c r="S226" s="2" t="s">
        <v>1298</v>
      </c>
    </row>
    <row r="227" spans="11:19" x14ac:dyDescent="0.35">
      <c r="K227" s="2" t="s">
        <v>1299</v>
      </c>
      <c r="L227" s="2" t="s">
        <v>1300</v>
      </c>
      <c r="M227" s="4">
        <v>2021</v>
      </c>
      <c r="N227" s="4">
        <v>12</v>
      </c>
      <c r="O227" s="20">
        <v>8.3000000000000007</v>
      </c>
      <c r="P227" s="2" t="s">
        <v>1301</v>
      </c>
      <c r="Q227" s="2" t="s">
        <v>1302</v>
      </c>
      <c r="R227" s="2" t="s">
        <v>1303</v>
      </c>
      <c r="S227" s="2" t="s">
        <v>1304</v>
      </c>
    </row>
    <row r="228" spans="11:19" x14ac:dyDescent="0.35">
      <c r="K228" s="2" t="s">
        <v>1305</v>
      </c>
      <c r="L228" s="2" t="s">
        <v>1306</v>
      </c>
      <c r="M228" s="4">
        <v>2019</v>
      </c>
      <c r="N228" s="4">
        <v>16</v>
      </c>
      <c r="O228" s="20">
        <v>8.3000000000000007</v>
      </c>
      <c r="P228" s="2" t="s">
        <v>2120</v>
      </c>
      <c r="Q228" s="2" t="s">
        <v>1308</v>
      </c>
      <c r="R228" s="2" t="s">
        <v>1309</v>
      </c>
      <c r="S228" s="2" t="s">
        <v>1310</v>
      </c>
    </row>
    <row r="229" spans="11:19" x14ac:dyDescent="0.35">
      <c r="K229" s="2" t="s">
        <v>1311</v>
      </c>
      <c r="L229" s="2" t="s">
        <v>1312</v>
      </c>
      <c r="M229" s="4">
        <v>2013</v>
      </c>
      <c r="N229" s="4">
        <v>24</v>
      </c>
      <c r="O229" s="20">
        <v>8.3000000000000007</v>
      </c>
      <c r="P229" s="2" t="s">
        <v>1313</v>
      </c>
      <c r="Q229" s="2" t="s">
        <v>2061</v>
      </c>
      <c r="R229" s="2" t="s">
        <v>2061</v>
      </c>
      <c r="S229" s="2" t="s">
        <v>2061</v>
      </c>
    </row>
    <row r="230" spans="11:19" x14ac:dyDescent="0.35">
      <c r="K230" s="2" t="s">
        <v>1314</v>
      </c>
      <c r="L230" s="2" t="s">
        <v>1315</v>
      </c>
      <c r="M230" s="4">
        <v>2018</v>
      </c>
      <c r="N230" s="4">
        <v>6</v>
      </c>
      <c r="O230" s="20">
        <v>8.3000000000000007</v>
      </c>
      <c r="P230" s="2" t="s">
        <v>2162</v>
      </c>
      <c r="Q230" s="2" t="s">
        <v>1317</v>
      </c>
      <c r="R230" s="2" t="s">
        <v>1318</v>
      </c>
      <c r="S230" s="2" t="s">
        <v>1319</v>
      </c>
    </row>
    <row r="231" spans="11:19" x14ac:dyDescent="0.35">
      <c r="K231" s="2" t="s">
        <v>1320</v>
      </c>
      <c r="L231" s="2" t="s">
        <v>1321</v>
      </c>
      <c r="M231" s="4">
        <v>2006</v>
      </c>
      <c r="N231" s="4">
        <v>81</v>
      </c>
      <c r="O231" s="20">
        <v>8.3000000000000007</v>
      </c>
      <c r="P231" s="2" t="s">
        <v>1322</v>
      </c>
      <c r="Q231" s="2" t="s">
        <v>1323</v>
      </c>
      <c r="R231" s="2" t="s">
        <v>1324</v>
      </c>
      <c r="S231" s="2" t="s">
        <v>1325</v>
      </c>
    </row>
    <row r="232" spans="11:19" x14ac:dyDescent="0.35">
      <c r="K232" s="2" t="s">
        <v>1326</v>
      </c>
      <c r="L232" s="2" t="s">
        <v>1327</v>
      </c>
      <c r="M232" s="4">
        <v>2012</v>
      </c>
      <c r="N232" s="4">
        <v>11</v>
      </c>
      <c r="O232" s="20">
        <v>8.3000000000000007</v>
      </c>
      <c r="P232" s="2" t="s">
        <v>2163</v>
      </c>
      <c r="Q232" s="2" t="s">
        <v>1329</v>
      </c>
      <c r="R232" s="2" t="s">
        <v>1330</v>
      </c>
      <c r="S232" s="2" t="s">
        <v>1331</v>
      </c>
    </row>
    <row r="233" spans="11:19" x14ac:dyDescent="0.35">
      <c r="K233" s="2" t="s">
        <v>1332</v>
      </c>
      <c r="L233" s="2" t="s">
        <v>1333</v>
      </c>
      <c r="M233" s="4">
        <v>2013</v>
      </c>
      <c r="N233" s="4">
        <v>133</v>
      </c>
      <c r="O233" s="20">
        <v>8.3000000000000007</v>
      </c>
      <c r="P233" s="2" t="s">
        <v>2121</v>
      </c>
      <c r="Q233" s="2" t="s">
        <v>1335</v>
      </c>
      <c r="R233" s="2" t="s">
        <v>1336</v>
      </c>
      <c r="S233" s="2" t="s">
        <v>1337</v>
      </c>
    </row>
    <row r="234" spans="11:19" x14ac:dyDescent="0.35">
      <c r="K234" s="2" t="s">
        <v>1338</v>
      </c>
      <c r="L234" s="2" t="s">
        <v>1339</v>
      </c>
      <c r="M234" s="4">
        <v>2018</v>
      </c>
      <c r="N234" s="4">
        <v>16</v>
      </c>
      <c r="O234" s="20">
        <v>8.3000000000000007</v>
      </c>
      <c r="P234" s="2" t="s">
        <v>1340</v>
      </c>
      <c r="Q234" s="2" t="s">
        <v>1145</v>
      </c>
      <c r="R234" s="2" t="s">
        <v>1341</v>
      </c>
      <c r="S234" s="2" t="s">
        <v>1342</v>
      </c>
    </row>
    <row r="235" spans="11:19" x14ac:dyDescent="0.35">
      <c r="K235" s="2" t="s">
        <v>1343</v>
      </c>
      <c r="L235" s="2" t="s">
        <v>1344</v>
      </c>
      <c r="M235" s="4">
        <v>2019</v>
      </c>
      <c r="N235" s="4">
        <v>16</v>
      </c>
      <c r="O235" s="20">
        <v>8.3000000000000007</v>
      </c>
      <c r="P235" s="2" t="s">
        <v>1345</v>
      </c>
      <c r="Q235" s="2" t="s">
        <v>1346</v>
      </c>
      <c r="R235" s="2" t="s">
        <v>1347</v>
      </c>
      <c r="S235" s="2" t="s">
        <v>1348</v>
      </c>
    </row>
    <row r="236" spans="11:19" x14ac:dyDescent="0.35">
      <c r="K236" s="2" t="s">
        <v>1349</v>
      </c>
      <c r="L236" s="2" t="s">
        <v>1350</v>
      </c>
      <c r="M236" s="4">
        <v>2019</v>
      </c>
      <c r="N236" s="4">
        <v>16</v>
      </c>
      <c r="O236" s="20">
        <v>8.3000000000000007</v>
      </c>
      <c r="P236" s="2" t="s">
        <v>1351</v>
      </c>
      <c r="Q236" s="2" t="s">
        <v>573</v>
      </c>
      <c r="R236" s="2" t="s">
        <v>1352</v>
      </c>
      <c r="S236" s="2" t="s">
        <v>1353</v>
      </c>
    </row>
    <row r="237" spans="11:19" x14ac:dyDescent="0.35">
      <c r="K237" s="2" t="s">
        <v>1354</v>
      </c>
      <c r="L237" s="2" t="s">
        <v>1355</v>
      </c>
      <c r="M237" s="4">
        <v>2022</v>
      </c>
      <c r="N237" s="4">
        <v>16</v>
      </c>
      <c r="O237" s="20">
        <v>8.3000000000000007</v>
      </c>
      <c r="P237" s="2" t="s">
        <v>2164</v>
      </c>
      <c r="Q237" s="2" t="s">
        <v>1357</v>
      </c>
      <c r="R237" s="2" t="s">
        <v>1358</v>
      </c>
      <c r="S237" s="2" t="s">
        <v>1359</v>
      </c>
    </row>
    <row r="238" spans="11:19" x14ac:dyDescent="0.35">
      <c r="K238" s="2" t="s">
        <v>1360</v>
      </c>
      <c r="L238" s="2" t="s">
        <v>1361</v>
      </c>
      <c r="M238" s="4">
        <v>2022</v>
      </c>
      <c r="N238" s="4">
        <v>6</v>
      </c>
      <c r="O238" s="20">
        <v>8.3000000000000007</v>
      </c>
      <c r="P238" s="2" t="s">
        <v>1362</v>
      </c>
      <c r="Q238" s="2" t="s">
        <v>1302</v>
      </c>
      <c r="R238" s="2" t="s">
        <v>1363</v>
      </c>
      <c r="S238" s="2" t="s">
        <v>1364</v>
      </c>
    </row>
    <row r="239" spans="11:19" x14ac:dyDescent="0.35">
      <c r="K239" s="2" t="s">
        <v>1365</v>
      </c>
      <c r="L239" s="2" t="s">
        <v>1366</v>
      </c>
      <c r="M239" s="4">
        <v>2018</v>
      </c>
      <c r="N239" s="4">
        <v>36</v>
      </c>
      <c r="O239" s="20">
        <v>8.3000000000000007</v>
      </c>
      <c r="P239" s="2" t="s">
        <v>1367</v>
      </c>
      <c r="Q239" s="2" t="s">
        <v>1368</v>
      </c>
      <c r="R239" s="2" t="s">
        <v>1369</v>
      </c>
      <c r="S239" s="2" t="s">
        <v>1370</v>
      </c>
    </row>
    <row r="240" spans="11:19" x14ac:dyDescent="0.35">
      <c r="K240" s="2" t="s">
        <v>1371</v>
      </c>
      <c r="L240" s="2" t="s">
        <v>1372</v>
      </c>
      <c r="M240" s="4">
        <v>2020</v>
      </c>
      <c r="N240" s="4">
        <v>16</v>
      </c>
      <c r="O240" s="20">
        <v>8.3000000000000007</v>
      </c>
      <c r="P240" s="2" t="s">
        <v>1373</v>
      </c>
      <c r="Q240" s="2" t="s">
        <v>1374</v>
      </c>
      <c r="R240" s="2" t="s">
        <v>1375</v>
      </c>
      <c r="S240" s="2" t="s">
        <v>1376</v>
      </c>
    </row>
    <row r="241" spans="11:19" x14ac:dyDescent="0.35">
      <c r="K241" s="2" t="s">
        <v>1377</v>
      </c>
      <c r="L241" s="2" t="s">
        <v>1378</v>
      </c>
      <c r="M241" s="4">
        <v>2018</v>
      </c>
      <c r="N241" s="4">
        <v>16</v>
      </c>
      <c r="O241" s="20">
        <v>8.3000000000000007</v>
      </c>
      <c r="P241" s="2" t="s">
        <v>1379</v>
      </c>
      <c r="Q241" s="2" t="s">
        <v>1380</v>
      </c>
      <c r="R241" s="2" t="s">
        <v>1381</v>
      </c>
      <c r="S241" s="2" t="s">
        <v>1382</v>
      </c>
    </row>
    <row r="242" spans="11:19" x14ac:dyDescent="0.35">
      <c r="K242" s="2" t="s">
        <v>1383</v>
      </c>
      <c r="L242" s="2" t="s">
        <v>1384</v>
      </c>
      <c r="M242" s="4">
        <v>2020</v>
      </c>
      <c r="N242" s="4">
        <v>12</v>
      </c>
      <c r="O242" s="20">
        <v>8.3000000000000007</v>
      </c>
      <c r="P242" s="2" t="s">
        <v>2122</v>
      </c>
      <c r="Q242" s="2" t="s">
        <v>1386</v>
      </c>
      <c r="R242" s="2" t="s">
        <v>1387</v>
      </c>
      <c r="S242" s="2" t="s">
        <v>1388</v>
      </c>
    </row>
    <row r="243" spans="11:19" x14ac:dyDescent="0.35">
      <c r="K243" s="2" t="s">
        <v>1389</v>
      </c>
      <c r="L243" s="2" t="s">
        <v>1390</v>
      </c>
      <c r="M243" s="4">
        <v>2017</v>
      </c>
      <c r="N243" s="4">
        <v>32</v>
      </c>
      <c r="O243" s="20">
        <v>8.3000000000000007</v>
      </c>
      <c r="P243" s="2" t="s">
        <v>2165</v>
      </c>
      <c r="Q243" s="2" t="s">
        <v>1392</v>
      </c>
      <c r="R243" s="2" t="s">
        <v>1393</v>
      </c>
      <c r="S243" s="2" t="s">
        <v>1394</v>
      </c>
    </row>
    <row r="244" spans="11:19" x14ac:dyDescent="0.35">
      <c r="K244" s="2" t="s">
        <v>1395</v>
      </c>
      <c r="L244" s="2" t="s">
        <v>1396</v>
      </c>
      <c r="M244" s="4">
        <v>2018</v>
      </c>
      <c r="N244" s="4">
        <v>32</v>
      </c>
      <c r="O244" s="20">
        <v>8.3000000000000007</v>
      </c>
      <c r="P244" s="2" t="s">
        <v>1397</v>
      </c>
      <c r="Q244" s="2" t="s">
        <v>1398</v>
      </c>
      <c r="R244" s="2" t="s">
        <v>1399</v>
      </c>
      <c r="S244" s="2" t="s">
        <v>1400</v>
      </c>
    </row>
    <row r="245" spans="11:19" x14ac:dyDescent="0.35">
      <c r="K245" s="2" t="s">
        <v>1401</v>
      </c>
      <c r="L245" s="2" t="s">
        <v>1402</v>
      </c>
      <c r="M245" s="4">
        <v>2020</v>
      </c>
      <c r="N245" s="4">
        <v>16</v>
      </c>
      <c r="O245" s="20">
        <v>8.3000000000000007</v>
      </c>
      <c r="P245" s="2" t="s">
        <v>2123</v>
      </c>
      <c r="Q245" s="2" t="s">
        <v>1404</v>
      </c>
      <c r="R245" s="2" t="s">
        <v>1405</v>
      </c>
      <c r="S245" s="2" t="s">
        <v>1406</v>
      </c>
    </row>
    <row r="246" spans="11:19" x14ac:dyDescent="0.35">
      <c r="K246" s="2" t="s">
        <v>1407</v>
      </c>
      <c r="L246" s="2" t="s">
        <v>1408</v>
      </c>
      <c r="M246" s="4">
        <v>2019</v>
      </c>
      <c r="N246" s="4">
        <v>16</v>
      </c>
      <c r="O246" s="20">
        <v>8.3000000000000007</v>
      </c>
      <c r="P246" s="2" t="s">
        <v>1409</v>
      </c>
      <c r="Q246" s="2" t="s">
        <v>1410</v>
      </c>
      <c r="R246" s="2" t="s">
        <v>1411</v>
      </c>
      <c r="S246" s="2" t="s">
        <v>1412</v>
      </c>
    </row>
    <row r="247" spans="11:19" x14ac:dyDescent="0.35">
      <c r="K247" s="2" t="s">
        <v>1413</v>
      </c>
      <c r="L247" s="2" t="s">
        <v>1414</v>
      </c>
      <c r="M247" s="4">
        <v>2015</v>
      </c>
      <c r="N247" s="4">
        <v>16</v>
      </c>
      <c r="O247" s="20">
        <v>8.3000000000000007</v>
      </c>
      <c r="P247" s="2" t="s">
        <v>1415</v>
      </c>
      <c r="Q247" s="2" t="s">
        <v>1416</v>
      </c>
      <c r="R247" s="2" t="s">
        <v>1417</v>
      </c>
      <c r="S247" s="2" t="s">
        <v>1418</v>
      </c>
    </row>
    <row r="248" spans="11:19" x14ac:dyDescent="0.35">
      <c r="K248" s="2" t="s">
        <v>1419</v>
      </c>
      <c r="L248" s="2" t="s">
        <v>1420</v>
      </c>
      <c r="M248" s="4">
        <v>2019</v>
      </c>
      <c r="N248" s="4">
        <v>32</v>
      </c>
      <c r="O248" s="20">
        <v>8.3000000000000007</v>
      </c>
      <c r="P248" s="2" t="s">
        <v>2166</v>
      </c>
      <c r="Q248" s="2" t="s">
        <v>1422</v>
      </c>
      <c r="R248" s="2" t="s">
        <v>1423</v>
      </c>
      <c r="S248" s="2" t="s">
        <v>1424</v>
      </c>
    </row>
    <row r="249" spans="11:19" x14ac:dyDescent="0.35">
      <c r="K249" s="2" t="s">
        <v>1425</v>
      </c>
      <c r="L249" s="2" t="s">
        <v>1426</v>
      </c>
      <c r="M249" s="4">
        <v>2017</v>
      </c>
      <c r="N249" s="4">
        <v>40</v>
      </c>
      <c r="O249" s="20">
        <v>8.3000000000000007</v>
      </c>
      <c r="P249" s="2" t="s">
        <v>1427</v>
      </c>
      <c r="Q249" s="2" t="s">
        <v>1428</v>
      </c>
      <c r="R249" s="2" t="s">
        <v>1429</v>
      </c>
      <c r="S249" s="2" t="s">
        <v>1430</v>
      </c>
    </row>
    <row r="250" spans="11:19" x14ac:dyDescent="0.35">
      <c r="K250" s="2" t="s">
        <v>1431</v>
      </c>
      <c r="L250" s="2" t="s">
        <v>1432</v>
      </c>
      <c r="M250" s="4">
        <v>2021</v>
      </c>
      <c r="N250" s="4">
        <v>16</v>
      </c>
      <c r="O250" s="20">
        <v>8.3000000000000007</v>
      </c>
      <c r="P250" s="2" t="s">
        <v>2167</v>
      </c>
      <c r="Q250" s="2" t="s">
        <v>567</v>
      </c>
      <c r="R250" s="2" t="s">
        <v>1434</v>
      </c>
      <c r="S250" s="2" t="s">
        <v>1435</v>
      </c>
    </row>
    <row r="251" spans="11:19" x14ac:dyDescent="0.35">
      <c r="K251" s="2" t="s">
        <v>1436</v>
      </c>
      <c r="L251" s="2" t="s">
        <v>1437</v>
      </c>
      <c r="M251" s="4">
        <v>2020</v>
      </c>
      <c r="N251" s="4">
        <v>16</v>
      </c>
      <c r="O251" s="20">
        <v>8.3000000000000007</v>
      </c>
      <c r="P251" s="2" t="s">
        <v>1438</v>
      </c>
      <c r="Q251" s="2" t="s">
        <v>2061</v>
      </c>
      <c r="R251" s="2" t="s">
        <v>2061</v>
      </c>
      <c r="S251" s="2" t="s">
        <v>2061</v>
      </c>
    </row>
    <row r="252" spans="11:19" x14ac:dyDescent="0.35">
      <c r="K252" s="2" t="s">
        <v>1439</v>
      </c>
      <c r="L252" s="2" t="s">
        <v>1440</v>
      </c>
      <c r="M252" s="4">
        <v>2018</v>
      </c>
      <c r="N252" s="4">
        <v>16</v>
      </c>
      <c r="O252" s="20">
        <v>8.3000000000000007</v>
      </c>
      <c r="P252" s="2" t="s">
        <v>2124</v>
      </c>
      <c r="Q252" s="2" t="s">
        <v>1442</v>
      </c>
      <c r="R252" s="2" t="s">
        <v>1443</v>
      </c>
      <c r="S252" s="2" t="s">
        <v>1444</v>
      </c>
    </row>
    <row r="253" spans="11:19" x14ac:dyDescent="0.35">
      <c r="K253" s="2" t="s">
        <v>1445</v>
      </c>
      <c r="L253" s="2" t="s">
        <v>1446</v>
      </c>
      <c r="M253" s="4">
        <v>2022</v>
      </c>
      <c r="N253" s="4">
        <v>16</v>
      </c>
      <c r="O253" s="20">
        <v>8.3000000000000007</v>
      </c>
      <c r="P253" s="2" t="s">
        <v>2125</v>
      </c>
      <c r="Q253" s="2" t="s">
        <v>409</v>
      </c>
      <c r="R253" s="2" t="s">
        <v>1448</v>
      </c>
      <c r="S253" s="2" t="s">
        <v>1449</v>
      </c>
    </row>
    <row r="254" spans="11:19" x14ac:dyDescent="0.35">
      <c r="K254" s="2" t="s">
        <v>1450</v>
      </c>
      <c r="L254" s="2" t="s">
        <v>1451</v>
      </c>
      <c r="M254" s="4">
        <v>2025</v>
      </c>
      <c r="N254" s="4">
        <v>16</v>
      </c>
      <c r="O254" s="20">
        <v>8.3000000000000007</v>
      </c>
      <c r="P254" s="2" t="s">
        <v>1452</v>
      </c>
      <c r="Q254" s="2" t="s">
        <v>1453</v>
      </c>
      <c r="R254" s="2" t="s">
        <v>1454</v>
      </c>
      <c r="S254" s="2" t="s">
        <v>1455</v>
      </c>
    </row>
    <row r="255" spans="11:19" x14ac:dyDescent="0.35">
      <c r="K255" s="2" t="s">
        <v>1456</v>
      </c>
      <c r="L255" s="2" t="s">
        <v>1457</v>
      </c>
      <c r="M255" s="4">
        <v>2019</v>
      </c>
      <c r="N255" s="4">
        <v>16</v>
      </c>
      <c r="O255" s="20">
        <v>8.3000000000000007</v>
      </c>
      <c r="P255" s="2" t="s">
        <v>1458</v>
      </c>
      <c r="Q255" s="2" t="s">
        <v>1459</v>
      </c>
      <c r="R255" s="2" t="s">
        <v>1460</v>
      </c>
      <c r="S255" s="2" t="s">
        <v>1461</v>
      </c>
    </row>
    <row r="256" spans="11:19" x14ac:dyDescent="0.35">
      <c r="K256" s="2" t="s">
        <v>1462</v>
      </c>
      <c r="L256" s="2" t="s">
        <v>1463</v>
      </c>
      <c r="M256" s="4">
        <v>2016</v>
      </c>
      <c r="N256" s="4">
        <v>54</v>
      </c>
      <c r="O256" s="20">
        <v>8.3000000000000007</v>
      </c>
      <c r="P256" s="2" t="s">
        <v>1464</v>
      </c>
      <c r="Q256" s="2" t="s">
        <v>1465</v>
      </c>
      <c r="R256" s="2" t="s">
        <v>1466</v>
      </c>
      <c r="S256" s="2" t="s">
        <v>1467</v>
      </c>
    </row>
    <row r="257" spans="11:19" x14ac:dyDescent="0.35">
      <c r="K257" s="2" t="s">
        <v>1468</v>
      </c>
      <c r="L257" s="2" t="s">
        <v>1469</v>
      </c>
      <c r="M257" s="4">
        <v>2020</v>
      </c>
      <c r="N257" s="4">
        <v>10</v>
      </c>
      <c r="O257" s="20">
        <v>8.3000000000000007</v>
      </c>
      <c r="P257" s="2" t="s">
        <v>2126</v>
      </c>
      <c r="Q257" s="2" t="s">
        <v>1471</v>
      </c>
      <c r="R257" s="2" t="s">
        <v>1472</v>
      </c>
      <c r="S257" s="2" t="s">
        <v>1473</v>
      </c>
    </row>
    <row r="258" spans="11:19" x14ac:dyDescent="0.35">
      <c r="K258" s="2" t="s">
        <v>1474</v>
      </c>
      <c r="L258" s="2" t="s">
        <v>1475</v>
      </c>
      <c r="M258" s="4">
        <v>2021</v>
      </c>
      <c r="N258" s="4">
        <v>16</v>
      </c>
      <c r="O258" s="20">
        <v>8.3000000000000007</v>
      </c>
      <c r="P258" s="2" t="s">
        <v>2127</v>
      </c>
      <c r="Q258" s="2" t="s">
        <v>1477</v>
      </c>
      <c r="R258" s="2" t="s">
        <v>1478</v>
      </c>
      <c r="S258" s="2" t="s">
        <v>1479</v>
      </c>
    </row>
    <row r="259" spans="11:19" x14ac:dyDescent="0.35">
      <c r="K259" s="2" t="s">
        <v>1480</v>
      </c>
      <c r="L259" s="2" t="s">
        <v>1481</v>
      </c>
      <c r="M259" s="4">
        <v>2021</v>
      </c>
      <c r="N259" s="4">
        <v>16</v>
      </c>
      <c r="O259" s="20">
        <v>8.3000000000000007</v>
      </c>
      <c r="P259" s="2" t="s">
        <v>1482</v>
      </c>
      <c r="Q259" s="2" t="s">
        <v>1483</v>
      </c>
      <c r="R259" s="2" t="s">
        <v>1484</v>
      </c>
      <c r="S259" s="2" t="s">
        <v>1485</v>
      </c>
    </row>
    <row r="260" spans="11:19" x14ac:dyDescent="0.35">
      <c r="K260" s="2" t="s">
        <v>1486</v>
      </c>
      <c r="L260" s="2" t="s">
        <v>1487</v>
      </c>
      <c r="M260" s="4">
        <v>2014</v>
      </c>
      <c r="N260" s="4">
        <v>12</v>
      </c>
      <c r="O260" s="20">
        <v>8.3000000000000007</v>
      </c>
      <c r="P260" s="2" t="s">
        <v>1488</v>
      </c>
      <c r="Q260" s="2" t="s">
        <v>1003</v>
      </c>
      <c r="R260" s="2" t="s">
        <v>1489</v>
      </c>
      <c r="S260" s="2" t="s">
        <v>1490</v>
      </c>
    </row>
    <row r="261" spans="11:19" x14ac:dyDescent="0.35">
      <c r="K261" s="2" t="s">
        <v>1491</v>
      </c>
      <c r="L261" s="2" t="s">
        <v>1492</v>
      </c>
      <c r="M261" s="4">
        <v>2011</v>
      </c>
      <c r="N261" s="4">
        <v>24</v>
      </c>
      <c r="O261" s="20">
        <v>8.3000000000000007</v>
      </c>
      <c r="P261" s="2" t="s">
        <v>1493</v>
      </c>
      <c r="Q261" s="2" t="s">
        <v>1494</v>
      </c>
      <c r="R261" s="2" t="s">
        <v>1495</v>
      </c>
      <c r="S261" s="2" t="s">
        <v>1496</v>
      </c>
    </row>
    <row r="262" spans="11:19" x14ac:dyDescent="0.35">
      <c r="K262" s="2" t="s">
        <v>1497</v>
      </c>
      <c r="L262" s="2" t="s">
        <v>1498</v>
      </c>
      <c r="M262" s="4">
        <v>2011</v>
      </c>
      <c r="N262" s="4">
        <v>20</v>
      </c>
      <c r="O262" s="20">
        <v>8.3000000000000007</v>
      </c>
      <c r="P262" s="2" t="s">
        <v>1499</v>
      </c>
      <c r="Q262" s="2" t="s">
        <v>778</v>
      </c>
      <c r="R262" s="2" t="s">
        <v>1500</v>
      </c>
      <c r="S262" s="2" t="s">
        <v>1501</v>
      </c>
    </row>
    <row r="263" spans="11:19" x14ac:dyDescent="0.35">
      <c r="K263" s="2" t="s">
        <v>1502</v>
      </c>
      <c r="L263" s="2" t="s">
        <v>1503</v>
      </c>
      <c r="M263" s="4">
        <v>2015</v>
      </c>
      <c r="N263" s="4">
        <v>20</v>
      </c>
      <c r="O263" s="20">
        <v>8.3000000000000007</v>
      </c>
      <c r="P263" s="2" t="s">
        <v>2128</v>
      </c>
      <c r="Q263" s="2" t="s">
        <v>1505</v>
      </c>
      <c r="R263" s="2" t="s">
        <v>1506</v>
      </c>
      <c r="S263" s="2" t="s">
        <v>1507</v>
      </c>
    </row>
    <row r="264" spans="11:19" x14ac:dyDescent="0.35">
      <c r="K264" s="2" t="s">
        <v>1508</v>
      </c>
      <c r="L264" s="2" t="s">
        <v>1509</v>
      </c>
      <c r="M264" s="4">
        <v>2020</v>
      </c>
      <c r="N264" s="4">
        <v>16</v>
      </c>
      <c r="O264" s="20">
        <v>8.3000000000000007</v>
      </c>
      <c r="P264" s="2" t="s">
        <v>2129</v>
      </c>
      <c r="Q264" s="2" t="s">
        <v>1511</v>
      </c>
      <c r="R264" s="2" t="s">
        <v>1512</v>
      </c>
      <c r="S264" s="2" t="s">
        <v>1513</v>
      </c>
    </row>
    <row r="265" spans="11:19" x14ac:dyDescent="0.35">
      <c r="K265" s="2" t="s">
        <v>1514</v>
      </c>
      <c r="L265" s="2" t="s">
        <v>1515</v>
      </c>
      <c r="M265" s="4">
        <v>2015</v>
      </c>
      <c r="N265" s="4">
        <v>16</v>
      </c>
      <c r="O265" s="20">
        <v>8.3000000000000007</v>
      </c>
      <c r="P265" s="2" t="s">
        <v>1516</v>
      </c>
      <c r="Q265" s="2" t="s">
        <v>1517</v>
      </c>
      <c r="R265" s="2" t="s">
        <v>1518</v>
      </c>
      <c r="S265" s="2" t="s">
        <v>1519</v>
      </c>
    </row>
    <row r="266" spans="11:19" x14ac:dyDescent="0.35">
      <c r="K266" s="2" t="s">
        <v>1520</v>
      </c>
      <c r="L266" s="2" t="s">
        <v>1521</v>
      </c>
      <c r="M266" s="4">
        <v>2019</v>
      </c>
      <c r="N266" s="4">
        <v>16</v>
      </c>
      <c r="O266" s="20">
        <v>8.3000000000000007</v>
      </c>
      <c r="P266" s="2" t="s">
        <v>1522</v>
      </c>
      <c r="Q266" s="2" t="s">
        <v>1523</v>
      </c>
      <c r="R266" s="2" t="s">
        <v>1524</v>
      </c>
      <c r="S266" s="2" t="s">
        <v>1525</v>
      </c>
    </row>
    <row r="267" spans="11:19" x14ac:dyDescent="0.35">
      <c r="K267" s="2" t="s">
        <v>1526</v>
      </c>
      <c r="L267" s="2" t="s">
        <v>1527</v>
      </c>
      <c r="M267" s="4">
        <v>2021</v>
      </c>
      <c r="N267" s="4">
        <v>20</v>
      </c>
      <c r="O267" s="20">
        <v>8.3000000000000007</v>
      </c>
      <c r="P267" s="2" t="s">
        <v>1528</v>
      </c>
      <c r="Q267" s="2" t="s">
        <v>1529</v>
      </c>
      <c r="R267" s="2" t="s">
        <v>1530</v>
      </c>
      <c r="S267" s="2" t="s">
        <v>1531</v>
      </c>
    </row>
    <row r="268" spans="11:19" x14ac:dyDescent="0.35">
      <c r="K268" s="2" t="s">
        <v>1532</v>
      </c>
      <c r="L268" s="2" t="s">
        <v>1533</v>
      </c>
      <c r="M268" s="4">
        <v>2012</v>
      </c>
      <c r="N268" s="4">
        <v>20</v>
      </c>
      <c r="O268" s="20">
        <v>8.3000000000000007</v>
      </c>
      <c r="P268" s="2" t="s">
        <v>1534</v>
      </c>
      <c r="Q268" s="2" t="s">
        <v>1465</v>
      </c>
      <c r="R268" s="2" t="s">
        <v>1535</v>
      </c>
      <c r="S268" s="2" t="s">
        <v>1536</v>
      </c>
    </row>
    <row r="269" spans="11:19" x14ac:dyDescent="0.35">
      <c r="K269" s="2" t="s">
        <v>1537</v>
      </c>
      <c r="L269" s="2" t="s">
        <v>1538</v>
      </c>
      <c r="M269" s="4">
        <v>2019</v>
      </c>
      <c r="N269" s="4">
        <v>40</v>
      </c>
      <c r="O269" s="20">
        <v>8.3000000000000007</v>
      </c>
      <c r="P269" s="2" t="s">
        <v>1539</v>
      </c>
      <c r="Q269" s="2" t="s">
        <v>1236</v>
      </c>
      <c r="R269" s="2" t="s">
        <v>1540</v>
      </c>
      <c r="S269" s="2" t="s">
        <v>1541</v>
      </c>
    </row>
    <row r="270" spans="11:19" x14ac:dyDescent="0.35">
      <c r="K270" s="2" t="s">
        <v>1542</v>
      </c>
      <c r="L270" s="2" t="s">
        <v>1543</v>
      </c>
      <c r="M270" s="4">
        <v>2007</v>
      </c>
      <c r="N270" s="4">
        <v>17</v>
      </c>
      <c r="O270" s="20">
        <v>8.3000000000000007</v>
      </c>
      <c r="P270" s="2" t="s">
        <v>1544</v>
      </c>
      <c r="Q270" s="2" t="s">
        <v>1545</v>
      </c>
      <c r="R270" s="2" t="s">
        <v>1546</v>
      </c>
      <c r="S270" s="2" t="s">
        <v>1547</v>
      </c>
    </row>
    <row r="271" spans="11:19" x14ac:dyDescent="0.35">
      <c r="K271" s="2" t="s">
        <v>1548</v>
      </c>
      <c r="L271" s="2" t="s">
        <v>1549</v>
      </c>
      <c r="M271" s="4">
        <v>2012</v>
      </c>
      <c r="N271" s="4">
        <v>20</v>
      </c>
      <c r="O271" s="20">
        <v>8.3000000000000007</v>
      </c>
      <c r="P271" s="2" t="s">
        <v>1550</v>
      </c>
      <c r="Q271" s="2" t="s">
        <v>1551</v>
      </c>
      <c r="R271" s="2" t="s">
        <v>1552</v>
      </c>
      <c r="S271" s="2" t="s">
        <v>1553</v>
      </c>
    </row>
    <row r="272" spans="11:19" x14ac:dyDescent="0.35">
      <c r="K272" s="2" t="s">
        <v>1554</v>
      </c>
      <c r="L272" s="2" t="s">
        <v>1555</v>
      </c>
      <c r="M272" s="4">
        <v>2019</v>
      </c>
      <c r="N272" s="4">
        <v>16</v>
      </c>
      <c r="O272" s="20">
        <v>8.3000000000000007</v>
      </c>
      <c r="P272" s="2" t="s">
        <v>1556</v>
      </c>
      <c r="Q272" s="2" t="s">
        <v>1557</v>
      </c>
      <c r="R272" s="2" t="s">
        <v>1558</v>
      </c>
      <c r="S272" s="2" t="s">
        <v>1559</v>
      </c>
    </row>
    <row r="273" spans="11:19" x14ac:dyDescent="0.35">
      <c r="K273" s="2" t="s">
        <v>1560</v>
      </c>
      <c r="L273" s="2" t="s">
        <v>1561</v>
      </c>
      <c r="M273" s="4">
        <v>2018</v>
      </c>
      <c r="N273" s="4">
        <v>16</v>
      </c>
      <c r="O273" s="20">
        <v>8.3000000000000007</v>
      </c>
      <c r="P273" s="2" t="s">
        <v>1562</v>
      </c>
      <c r="Q273" s="2" t="s">
        <v>1563</v>
      </c>
      <c r="R273" s="2" t="s">
        <v>1564</v>
      </c>
      <c r="S273" s="2" t="s">
        <v>1565</v>
      </c>
    </row>
    <row r="274" spans="11:19" x14ac:dyDescent="0.35">
      <c r="K274" s="2" t="s">
        <v>1566</v>
      </c>
      <c r="L274" s="2" t="s">
        <v>1567</v>
      </c>
      <c r="M274" s="4">
        <v>2025</v>
      </c>
      <c r="N274" s="4">
        <v>12</v>
      </c>
      <c r="O274" s="20">
        <v>8.3000000000000007</v>
      </c>
      <c r="P274" s="2" t="s">
        <v>1568</v>
      </c>
      <c r="Q274" s="2" t="s">
        <v>1569</v>
      </c>
      <c r="R274" s="2" t="s">
        <v>1570</v>
      </c>
      <c r="S274" s="2" t="s">
        <v>1571</v>
      </c>
    </row>
    <row r="275" spans="11:19" x14ac:dyDescent="0.35">
      <c r="K275" s="2" t="s">
        <v>1572</v>
      </c>
      <c r="L275" s="2" t="s">
        <v>1573</v>
      </c>
      <c r="M275" s="4">
        <v>2015</v>
      </c>
      <c r="N275" s="4">
        <v>10</v>
      </c>
      <c r="O275" s="20">
        <v>8.3000000000000007</v>
      </c>
      <c r="P275" s="2" t="s">
        <v>1574</v>
      </c>
      <c r="Q275" s="2" t="s">
        <v>567</v>
      </c>
      <c r="R275" s="2" t="s">
        <v>1575</v>
      </c>
      <c r="S275" s="2" t="s">
        <v>1576</v>
      </c>
    </row>
    <row r="276" spans="11:19" x14ac:dyDescent="0.35">
      <c r="K276" s="2" t="s">
        <v>1577</v>
      </c>
      <c r="L276" s="2" t="s">
        <v>1578</v>
      </c>
      <c r="M276" s="4">
        <v>2017</v>
      </c>
      <c r="N276" s="4">
        <v>16</v>
      </c>
      <c r="O276" s="20">
        <v>8.3000000000000007</v>
      </c>
      <c r="P276" s="2" t="s">
        <v>1579</v>
      </c>
      <c r="Q276" s="2" t="s">
        <v>1580</v>
      </c>
      <c r="R276" s="2" t="s">
        <v>1581</v>
      </c>
      <c r="S276" s="2" t="s">
        <v>1582</v>
      </c>
    </row>
    <row r="277" spans="11:19" x14ac:dyDescent="0.35">
      <c r="K277" s="2" t="s">
        <v>1583</v>
      </c>
      <c r="L277" s="2" t="s">
        <v>1584</v>
      </c>
      <c r="M277" s="4">
        <v>2017</v>
      </c>
      <c r="N277" s="4">
        <v>20</v>
      </c>
      <c r="O277" s="20">
        <v>8.3000000000000007</v>
      </c>
      <c r="P277" s="2" t="s">
        <v>2130</v>
      </c>
      <c r="Q277" s="2" t="s">
        <v>1031</v>
      </c>
      <c r="R277" s="2" t="s">
        <v>1586</v>
      </c>
      <c r="S277" s="2" t="s">
        <v>1587</v>
      </c>
    </row>
    <row r="278" spans="11:19" x14ac:dyDescent="0.35">
      <c r="K278" s="2" t="s">
        <v>1588</v>
      </c>
      <c r="L278" s="2" t="s">
        <v>1589</v>
      </c>
      <c r="M278" s="4">
        <v>2016</v>
      </c>
      <c r="N278" s="4">
        <v>16</v>
      </c>
      <c r="O278" s="20">
        <v>8.3000000000000007</v>
      </c>
      <c r="P278" s="2" t="s">
        <v>2131</v>
      </c>
      <c r="Q278" s="2" t="s">
        <v>1591</v>
      </c>
      <c r="R278" s="2" t="s">
        <v>1592</v>
      </c>
      <c r="S278" s="2" t="s">
        <v>1593</v>
      </c>
    </row>
    <row r="279" spans="11:19" x14ac:dyDescent="0.35">
      <c r="K279" s="2" t="s">
        <v>1594</v>
      </c>
      <c r="L279" s="2" t="s">
        <v>1595</v>
      </c>
      <c r="M279" s="4">
        <v>2017</v>
      </c>
      <c r="N279" s="4">
        <v>20</v>
      </c>
      <c r="O279" s="20">
        <v>8.3000000000000007</v>
      </c>
      <c r="P279" s="2" t="s">
        <v>1596</v>
      </c>
      <c r="Q279" s="2" t="s">
        <v>1597</v>
      </c>
      <c r="R279" s="2" t="s">
        <v>1598</v>
      </c>
      <c r="S279" s="2" t="s">
        <v>1599</v>
      </c>
    </row>
    <row r="280" spans="11:19" x14ac:dyDescent="0.35">
      <c r="K280" s="2" t="s">
        <v>1600</v>
      </c>
      <c r="L280" s="2" t="s">
        <v>1601</v>
      </c>
      <c r="M280" s="4">
        <v>2021</v>
      </c>
      <c r="N280" s="4">
        <v>14</v>
      </c>
      <c r="O280" s="20">
        <v>8.3000000000000007</v>
      </c>
      <c r="P280" s="2" t="s">
        <v>2132</v>
      </c>
      <c r="Q280" s="2" t="s">
        <v>2061</v>
      </c>
      <c r="R280" s="2" t="s">
        <v>2061</v>
      </c>
      <c r="S280" s="2" t="s">
        <v>2061</v>
      </c>
    </row>
    <row r="281" spans="11:19" x14ac:dyDescent="0.35">
      <c r="K281" s="2" t="s">
        <v>1603</v>
      </c>
      <c r="L281" s="2" t="s">
        <v>1604</v>
      </c>
      <c r="M281" s="4">
        <v>2024</v>
      </c>
      <c r="N281" s="4">
        <v>14</v>
      </c>
      <c r="O281" s="20">
        <v>8.3000000000000007</v>
      </c>
      <c r="P281" s="2" t="s">
        <v>1605</v>
      </c>
      <c r="Q281" s="2" t="s">
        <v>1308</v>
      </c>
      <c r="R281" s="2" t="s">
        <v>1606</v>
      </c>
      <c r="S281" s="2" t="s">
        <v>1607</v>
      </c>
    </row>
    <row r="282" spans="11:19" x14ac:dyDescent="0.35">
      <c r="K282" s="2" t="s">
        <v>1608</v>
      </c>
      <c r="L282" s="2" t="s">
        <v>1609</v>
      </c>
      <c r="M282" s="4">
        <v>2023</v>
      </c>
      <c r="N282" s="4">
        <v>12</v>
      </c>
      <c r="O282" s="20">
        <v>8.3000000000000007</v>
      </c>
      <c r="P282" s="2" t="s">
        <v>1610</v>
      </c>
      <c r="Q282" s="2" t="s">
        <v>625</v>
      </c>
      <c r="R282" s="2" t="s">
        <v>1611</v>
      </c>
      <c r="S282" s="2" t="s">
        <v>1612</v>
      </c>
    </row>
    <row r="283" spans="11:19" x14ac:dyDescent="0.35">
      <c r="K283" s="2" t="s">
        <v>1613</v>
      </c>
      <c r="L283" s="2" t="s">
        <v>1614</v>
      </c>
      <c r="M283" s="4">
        <v>2024</v>
      </c>
      <c r="N283" s="4">
        <v>12</v>
      </c>
      <c r="O283" s="20">
        <v>8.3000000000000007</v>
      </c>
      <c r="P283" s="2" t="s">
        <v>2133</v>
      </c>
      <c r="Q283" s="2" t="s">
        <v>352</v>
      </c>
      <c r="R283" s="2" t="s">
        <v>1616</v>
      </c>
      <c r="S283" s="2" t="s">
        <v>1617</v>
      </c>
    </row>
    <row r="284" spans="11:19" x14ac:dyDescent="0.35">
      <c r="K284" s="2" t="s">
        <v>1618</v>
      </c>
      <c r="L284" s="2" t="s">
        <v>1619</v>
      </c>
      <c r="M284" s="4">
        <v>2023</v>
      </c>
      <c r="N284" s="4">
        <v>16</v>
      </c>
      <c r="O284" s="20">
        <v>8.3000000000000007</v>
      </c>
      <c r="P284" s="2" t="s">
        <v>1620</v>
      </c>
      <c r="Q284" s="2" t="s">
        <v>1093</v>
      </c>
      <c r="R284" s="2" t="s">
        <v>1621</v>
      </c>
      <c r="S284" s="2" t="s">
        <v>1622</v>
      </c>
    </row>
    <row r="285" spans="11:19" x14ac:dyDescent="0.35">
      <c r="K285" s="2" t="s">
        <v>1623</v>
      </c>
      <c r="L285" s="2" t="s">
        <v>1624</v>
      </c>
      <c r="M285" s="4">
        <v>2023</v>
      </c>
      <c r="N285" s="4">
        <v>16</v>
      </c>
      <c r="O285" s="20">
        <v>8.3000000000000007</v>
      </c>
      <c r="P285" s="2" t="s">
        <v>1625</v>
      </c>
      <c r="Q285" s="2" t="s">
        <v>1626</v>
      </c>
      <c r="R285" s="2" t="s">
        <v>2134</v>
      </c>
      <c r="S285" s="2" t="s">
        <v>1628</v>
      </c>
    </row>
    <row r="286" spans="11:19" x14ac:dyDescent="0.35">
      <c r="K286" s="2" t="s">
        <v>1629</v>
      </c>
      <c r="L286" s="2" t="s">
        <v>1630</v>
      </c>
      <c r="M286" s="4">
        <v>2023</v>
      </c>
      <c r="N286" s="4">
        <v>8</v>
      </c>
      <c r="O286" s="20">
        <v>8.3000000000000007</v>
      </c>
      <c r="P286" s="2" t="s">
        <v>1631</v>
      </c>
      <c r="Q286" s="2" t="s">
        <v>1632</v>
      </c>
      <c r="R286" s="2" t="s">
        <v>1633</v>
      </c>
      <c r="S286" s="2" t="s">
        <v>1634</v>
      </c>
    </row>
    <row r="287" spans="11:19" x14ac:dyDescent="0.35">
      <c r="K287" s="2" t="s">
        <v>1635</v>
      </c>
      <c r="L287" s="2" t="s">
        <v>1636</v>
      </c>
      <c r="M287" s="4">
        <v>2024</v>
      </c>
      <c r="N287" s="4">
        <v>16</v>
      </c>
      <c r="O287" s="20">
        <v>8.3000000000000007</v>
      </c>
      <c r="P287" s="2" t="s">
        <v>1637</v>
      </c>
      <c r="Q287" s="2" t="s">
        <v>1569</v>
      </c>
      <c r="R287" s="2" t="s">
        <v>1638</v>
      </c>
      <c r="S287" s="2" t="s">
        <v>1639</v>
      </c>
    </row>
    <row r="288" spans="11:19" x14ac:dyDescent="0.35">
      <c r="K288" s="2" t="s">
        <v>1640</v>
      </c>
      <c r="L288" s="2" t="s">
        <v>1641</v>
      </c>
      <c r="M288" s="4">
        <v>2023</v>
      </c>
      <c r="N288" s="4">
        <v>11</v>
      </c>
      <c r="O288" s="20">
        <v>8.3000000000000007</v>
      </c>
      <c r="P288" s="2" t="s">
        <v>2135</v>
      </c>
      <c r="Q288" s="2" t="s">
        <v>1643</v>
      </c>
      <c r="R288" s="2" t="s">
        <v>1644</v>
      </c>
      <c r="S288" s="2" t="s">
        <v>1645</v>
      </c>
    </row>
    <row r="289" spans="11:19" x14ac:dyDescent="0.35">
      <c r="K289" s="2" t="s">
        <v>1646</v>
      </c>
      <c r="L289" s="2" t="s">
        <v>1647</v>
      </c>
      <c r="M289" s="4">
        <v>2023</v>
      </c>
      <c r="N289" s="4">
        <v>16</v>
      </c>
      <c r="O289" s="20">
        <v>8.1999999999999993</v>
      </c>
      <c r="P289" s="2" t="s">
        <v>2136</v>
      </c>
      <c r="Q289" s="2" t="s">
        <v>1569</v>
      </c>
      <c r="R289" s="2" t="s">
        <v>1650</v>
      </c>
      <c r="S289" s="2" t="s">
        <v>1651</v>
      </c>
    </row>
    <row r="290" spans="11:19" x14ac:dyDescent="0.35">
      <c r="K290" s="2" t="s">
        <v>1652</v>
      </c>
      <c r="L290" s="2" t="s">
        <v>1653</v>
      </c>
      <c r="M290" s="4">
        <v>2023</v>
      </c>
      <c r="N290" s="4">
        <v>12</v>
      </c>
      <c r="O290" s="20">
        <v>8.1999999999999993</v>
      </c>
      <c r="P290" s="2" t="s">
        <v>1654</v>
      </c>
      <c r="Q290" s="2" t="s">
        <v>567</v>
      </c>
      <c r="R290" s="2" t="s">
        <v>1655</v>
      </c>
      <c r="S290" s="2" t="s">
        <v>1656</v>
      </c>
    </row>
    <row r="291" spans="11:19" x14ac:dyDescent="0.35">
      <c r="K291" s="2" t="s">
        <v>1657</v>
      </c>
      <c r="L291" s="2" t="s">
        <v>1658</v>
      </c>
      <c r="M291" s="4">
        <v>2023</v>
      </c>
      <c r="N291" s="4">
        <v>16</v>
      </c>
      <c r="O291" s="20">
        <v>8.1999999999999993</v>
      </c>
      <c r="P291" s="2" t="s">
        <v>1659</v>
      </c>
      <c r="Q291" s="2" t="s">
        <v>1660</v>
      </c>
      <c r="R291" s="2" t="s">
        <v>1661</v>
      </c>
      <c r="S291" s="2" t="s">
        <v>1662</v>
      </c>
    </row>
    <row r="292" spans="11:19" x14ac:dyDescent="0.35">
      <c r="K292" s="2" t="s">
        <v>1663</v>
      </c>
      <c r="L292" s="2" t="s">
        <v>1664</v>
      </c>
      <c r="M292" s="4">
        <v>2024</v>
      </c>
      <c r="N292" s="4">
        <v>12</v>
      </c>
      <c r="O292" s="20">
        <v>8.1</v>
      </c>
      <c r="P292" s="2" t="s">
        <v>1666</v>
      </c>
      <c r="Q292" s="2" t="s">
        <v>352</v>
      </c>
      <c r="R292" s="2" t="s">
        <v>1667</v>
      </c>
      <c r="S292" s="2" t="s">
        <v>1668</v>
      </c>
    </row>
    <row r="293" spans="11:19" x14ac:dyDescent="0.35">
      <c r="K293" s="2" t="s">
        <v>1669</v>
      </c>
      <c r="L293" s="2" t="s">
        <v>1670</v>
      </c>
      <c r="M293" s="4">
        <v>2025</v>
      </c>
      <c r="N293" s="4">
        <v>12</v>
      </c>
      <c r="O293" s="20">
        <v>8.1</v>
      </c>
      <c r="P293" s="2" t="s">
        <v>1671</v>
      </c>
      <c r="Q293" s="2" t="s">
        <v>807</v>
      </c>
      <c r="R293" s="2" t="s">
        <v>1672</v>
      </c>
      <c r="S293" s="2" t="s">
        <v>1673</v>
      </c>
    </row>
    <row r="294" spans="11:19" x14ac:dyDescent="0.35">
      <c r="K294" s="2" t="s">
        <v>1674</v>
      </c>
      <c r="L294" s="2" t="s">
        <v>1675</v>
      </c>
      <c r="M294" s="4">
        <v>2024</v>
      </c>
      <c r="N294" s="4">
        <v>16</v>
      </c>
      <c r="O294" s="20">
        <v>8.1</v>
      </c>
      <c r="P294" s="2" t="s">
        <v>1676</v>
      </c>
      <c r="Q294" s="2" t="s">
        <v>997</v>
      </c>
      <c r="R294" s="2" t="s">
        <v>1677</v>
      </c>
      <c r="S294" s="2" t="s">
        <v>1678</v>
      </c>
    </row>
    <row r="295" spans="11:19" x14ac:dyDescent="0.35">
      <c r="K295" s="2" t="s">
        <v>1679</v>
      </c>
      <c r="L295" s="2" t="s">
        <v>1680</v>
      </c>
      <c r="M295" s="4">
        <v>2023</v>
      </c>
      <c r="N295" s="4">
        <v>20</v>
      </c>
      <c r="O295" s="20">
        <v>8.1</v>
      </c>
      <c r="P295" s="2" t="s">
        <v>1681</v>
      </c>
      <c r="Q295" s="2" t="s">
        <v>1682</v>
      </c>
      <c r="R295" s="2" t="s">
        <v>1683</v>
      </c>
      <c r="S295" s="2" t="s">
        <v>1684</v>
      </c>
    </row>
    <row r="296" spans="11:19" x14ac:dyDescent="0.35">
      <c r="K296" s="2" t="s">
        <v>1685</v>
      </c>
      <c r="L296" s="2" t="s">
        <v>1686</v>
      </c>
      <c r="M296" s="4">
        <v>2023</v>
      </c>
      <c r="N296" s="4">
        <v>14</v>
      </c>
      <c r="O296" s="20">
        <v>8.1</v>
      </c>
      <c r="P296" s="2" t="s">
        <v>1687</v>
      </c>
      <c r="Q296" s="2" t="s">
        <v>836</v>
      </c>
      <c r="R296" s="2" t="s">
        <v>1688</v>
      </c>
      <c r="S296" s="2" t="s">
        <v>1689</v>
      </c>
    </row>
    <row r="297" spans="11:19" x14ac:dyDescent="0.35">
      <c r="K297" s="2" t="s">
        <v>1690</v>
      </c>
      <c r="L297" s="2" t="s">
        <v>1691</v>
      </c>
      <c r="M297" s="4">
        <v>2023</v>
      </c>
      <c r="N297" s="4">
        <v>16</v>
      </c>
      <c r="O297" s="20">
        <v>8.1</v>
      </c>
      <c r="P297" s="2" t="s">
        <v>1692</v>
      </c>
      <c r="Q297" s="2" t="s">
        <v>1693</v>
      </c>
      <c r="R297" s="2" t="s">
        <v>1694</v>
      </c>
      <c r="S297" s="2" t="s">
        <v>1695</v>
      </c>
    </row>
    <row r="298" spans="11:19" x14ac:dyDescent="0.35">
      <c r="K298" s="2" t="s">
        <v>1696</v>
      </c>
      <c r="L298" s="2" t="s">
        <v>1697</v>
      </c>
      <c r="M298" s="4">
        <v>2023</v>
      </c>
      <c r="N298" s="4">
        <v>18</v>
      </c>
      <c r="O298" s="20">
        <v>8.1</v>
      </c>
      <c r="P298" s="2" t="s">
        <v>1698</v>
      </c>
      <c r="Q298" s="2" t="s">
        <v>1682</v>
      </c>
      <c r="R298" s="2" t="s">
        <v>1699</v>
      </c>
      <c r="S298" s="2" t="s">
        <v>1700</v>
      </c>
    </row>
    <row r="299" spans="11:19" x14ac:dyDescent="0.35">
      <c r="K299" s="2" t="s">
        <v>1701</v>
      </c>
      <c r="L299" s="2" t="s">
        <v>1702</v>
      </c>
      <c r="M299" s="4">
        <v>2025</v>
      </c>
      <c r="N299" s="4">
        <v>12</v>
      </c>
      <c r="O299" s="20">
        <v>8</v>
      </c>
      <c r="P299" s="2" t="s">
        <v>1703</v>
      </c>
      <c r="Q299" s="2" t="s">
        <v>1704</v>
      </c>
      <c r="R299" s="2" t="s">
        <v>1705</v>
      </c>
      <c r="S299" s="2" t="s">
        <v>1706</v>
      </c>
    </row>
    <row r="300" spans="11:19" x14ac:dyDescent="0.35">
      <c r="K300" s="2" t="s">
        <v>1707</v>
      </c>
      <c r="L300" s="2" t="s">
        <v>1708</v>
      </c>
      <c r="M300" s="4">
        <v>2024</v>
      </c>
      <c r="N300" s="4">
        <v>12</v>
      </c>
      <c r="O300" s="20">
        <v>8</v>
      </c>
      <c r="P300" s="2" t="s">
        <v>1709</v>
      </c>
      <c r="Q300" s="2" t="s">
        <v>1459</v>
      </c>
      <c r="R300" s="2" t="s">
        <v>1710</v>
      </c>
      <c r="S300" s="2" t="s">
        <v>1711</v>
      </c>
    </row>
    <row r="301" spans="11:19" x14ac:dyDescent="0.35">
      <c r="K301" s="2" t="s">
        <v>1712</v>
      </c>
      <c r="L301" s="2" t="s">
        <v>1713</v>
      </c>
      <c r="M301" s="4">
        <v>2024</v>
      </c>
      <c r="N301" s="4">
        <v>16</v>
      </c>
      <c r="O301" s="20">
        <v>8</v>
      </c>
      <c r="P301" s="2" t="s">
        <v>2137</v>
      </c>
      <c r="Q301" s="2" t="s">
        <v>1715</v>
      </c>
      <c r="R301" s="2" t="s">
        <v>1716</v>
      </c>
      <c r="S301" s="2" t="s">
        <v>1717</v>
      </c>
    </row>
    <row r="302" spans="11:19" x14ac:dyDescent="0.35">
      <c r="K302" s="2" t="s">
        <v>1718</v>
      </c>
      <c r="L302" s="2" t="s">
        <v>1719</v>
      </c>
      <c r="M302" s="4">
        <v>2024</v>
      </c>
      <c r="N302" s="4">
        <v>10</v>
      </c>
      <c r="O302" s="20">
        <v>8</v>
      </c>
      <c r="P302" s="2" t="s">
        <v>1720</v>
      </c>
      <c r="Q302" s="2" t="s">
        <v>1721</v>
      </c>
      <c r="R302" s="2" t="s">
        <v>1722</v>
      </c>
      <c r="S302" s="2" t="s">
        <v>1723</v>
      </c>
    </row>
    <row r="303" spans="11:19" x14ac:dyDescent="0.35">
      <c r="K303" s="2" t="s">
        <v>1724</v>
      </c>
      <c r="L303" s="2" t="s">
        <v>1725</v>
      </c>
      <c r="M303" s="4">
        <v>2024</v>
      </c>
      <c r="N303" s="4">
        <v>20</v>
      </c>
      <c r="O303" s="20">
        <v>8</v>
      </c>
      <c r="P303" s="2" t="s">
        <v>1726</v>
      </c>
      <c r="Q303" s="2" t="s">
        <v>1727</v>
      </c>
      <c r="R303" s="2" t="s">
        <v>1728</v>
      </c>
      <c r="S303" s="2" t="s">
        <v>1729</v>
      </c>
    </row>
    <row r="304" spans="11:19" x14ac:dyDescent="0.35">
      <c r="K304" s="2" t="s">
        <v>1730</v>
      </c>
      <c r="L304" s="2" t="s">
        <v>1731</v>
      </c>
      <c r="M304" s="4">
        <v>2023</v>
      </c>
      <c r="N304" s="4">
        <v>16</v>
      </c>
      <c r="O304" s="20">
        <v>8</v>
      </c>
      <c r="P304" s="2" t="s">
        <v>1732</v>
      </c>
      <c r="Q304" s="2" t="s">
        <v>1733</v>
      </c>
      <c r="R304" s="2" t="s">
        <v>1734</v>
      </c>
      <c r="S304" s="2" t="s">
        <v>1735</v>
      </c>
    </row>
    <row r="305" spans="11:19" x14ac:dyDescent="0.35">
      <c r="K305" s="2" t="s">
        <v>1736</v>
      </c>
      <c r="L305" s="2" t="s">
        <v>1737</v>
      </c>
      <c r="M305" s="4">
        <v>2024</v>
      </c>
      <c r="N305" s="4">
        <v>16</v>
      </c>
      <c r="O305" s="20">
        <v>7.9</v>
      </c>
      <c r="P305" s="2" t="s">
        <v>1739</v>
      </c>
      <c r="Q305" s="2" t="s">
        <v>1105</v>
      </c>
      <c r="R305" s="2" t="s">
        <v>1740</v>
      </c>
      <c r="S305" s="2" t="s">
        <v>1741</v>
      </c>
    </row>
    <row r="306" spans="11:19" x14ac:dyDescent="0.35">
      <c r="K306" s="2" t="s">
        <v>1742</v>
      </c>
      <c r="L306" s="2" t="s">
        <v>1743</v>
      </c>
      <c r="M306" s="4">
        <v>2025</v>
      </c>
      <c r="N306" s="4">
        <v>50</v>
      </c>
      <c r="O306" s="20">
        <v>7.9</v>
      </c>
      <c r="P306" s="2" t="s">
        <v>1744</v>
      </c>
      <c r="Q306" s="2" t="s">
        <v>1745</v>
      </c>
      <c r="R306" s="2" t="s">
        <v>1746</v>
      </c>
      <c r="S306" s="2" t="s">
        <v>1747</v>
      </c>
    </row>
    <row r="307" spans="11:19" x14ac:dyDescent="0.35">
      <c r="K307" s="2" t="s">
        <v>1748</v>
      </c>
      <c r="L307" s="2" t="s">
        <v>1749</v>
      </c>
      <c r="M307" s="4">
        <v>2023</v>
      </c>
      <c r="N307" s="4">
        <v>16</v>
      </c>
      <c r="O307" s="20">
        <v>7.9</v>
      </c>
      <c r="P307" s="2" t="s">
        <v>1750</v>
      </c>
      <c r="Q307" s="2" t="s">
        <v>567</v>
      </c>
      <c r="R307" s="2" t="s">
        <v>1751</v>
      </c>
      <c r="S307" s="2" t="s">
        <v>1752</v>
      </c>
    </row>
    <row r="308" spans="11:19" x14ac:dyDescent="0.35">
      <c r="K308" s="2" t="s">
        <v>1753</v>
      </c>
      <c r="L308" s="2" t="s">
        <v>1754</v>
      </c>
      <c r="M308" s="4">
        <v>2023</v>
      </c>
      <c r="N308" s="4">
        <v>16</v>
      </c>
      <c r="O308" s="20">
        <v>7.9</v>
      </c>
      <c r="P308" s="2" t="s">
        <v>2138</v>
      </c>
      <c r="Q308" s="2" t="s">
        <v>1756</v>
      </c>
      <c r="R308" s="2" t="s">
        <v>1757</v>
      </c>
      <c r="S308" s="2" t="s">
        <v>1758</v>
      </c>
    </row>
    <row r="309" spans="11:19" x14ac:dyDescent="0.35">
      <c r="K309" s="2" t="s">
        <v>1759</v>
      </c>
      <c r="L309" s="2" t="s">
        <v>1760</v>
      </c>
      <c r="M309" s="4">
        <v>2023</v>
      </c>
      <c r="N309" s="4">
        <v>16</v>
      </c>
      <c r="O309" s="20">
        <v>7.8</v>
      </c>
      <c r="P309" s="2" t="s">
        <v>1762</v>
      </c>
      <c r="Q309" s="2" t="s">
        <v>1763</v>
      </c>
      <c r="R309" s="2" t="s">
        <v>1764</v>
      </c>
      <c r="S309" s="2" t="s">
        <v>1765</v>
      </c>
    </row>
    <row r="310" spans="11:19" x14ac:dyDescent="0.35">
      <c r="K310" s="2" t="s">
        <v>1766</v>
      </c>
      <c r="L310" s="2" t="s">
        <v>1767</v>
      </c>
      <c r="M310" s="4">
        <v>2024</v>
      </c>
      <c r="N310" s="4">
        <v>8</v>
      </c>
      <c r="O310" s="20">
        <v>7.8</v>
      </c>
      <c r="P310" s="2" t="s">
        <v>1768</v>
      </c>
      <c r="Q310" s="2" t="s">
        <v>1769</v>
      </c>
      <c r="R310" s="2" t="s">
        <v>1770</v>
      </c>
      <c r="S310" s="2" t="s">
        <v>1771</v>
      </c>
    </row>
    <row r="311" spans="11:19" x14ac:dyDescent="0.35">
      <c r="K311" s="2" t="s">
        <v>1772</v>
      </c>
      <c r="L311" s="2" t="s">
        <v>1773</v>
      </c>
      <c r="M311" s="4">
        <v>2023</v>
      </c>
      <c r="N311" s="4">
        <v>12</v>
      </c>
      <c r="O311" s="20">
        <v>7.8</v>
      </c>
      <c r="P311" s="2" t="s">
        <v>1774</v>
      </c>
      <c r="Q311" s="2" t="s">
        <v>284</v>
      </c>
      <c r="R311" s="2" t="s">
        <v>1775</v>
      </c>
      <c r="S311" s="2" t="s">
        <v>1776</v>
      </c>
    </row>
    <row r="312" spans="11:19" x14ac:dyDescent="0.35">
      <c r="K312" s="2" t="s">
        <v>1777</v>
      </c>
      <c r="L312" s="2" t="s">
        <v>1778</v>
      </c>
      <c r="M312" s="4">
        <v>2023</v>
      </c>
      <c r="N312" s="4">
        <v>12</v>
      </c>
      <c r="O312" s="20">
        <v>7.8</v>
      </c>
      <c r="P312" s="2" t="s">
        <v>1779</v>
      </c>
      <c r="Q312" s="2" t="s">
        <v>1780</v>
      </c>
      <c r="R312" s="2" t="s">
        <v>1781</v>
      </c>
      <c r="S312" s="2" t="s">
        <v>1782</v>
      </c>
    </row>
    <row r="313" spans="11:19" x14ac:dyDescent="0.35">
      <c r="K313" s="2" t="s">
        <v>1783</v>
      </c>
      <c r="L313" s="2" t="s">
        <v>1784</v>
      </c>
      <c r="M313" s="4">
        <v>2025</v>
      </c>
      <c r="N313" s="4">
        <v>10</v>
      </c>
      <c r="O313" s="20">
        <v>7.7</v>
      </c>
      <c r="P313" s="2" t="s">
        <v>1786</v>
      </c>
      <c r="Q313" s="2" t="s">
        <v>1787</v>
      </c>
      <c r="R313" s="2" t="s">
        <v>1788</v>
      </c>
      <c r="S313" s="2" t="s">
        <v>1789</v>
      </c>
    </row>
    <row r="314" spans="11:19" x14ac:dyDescent="0.35">
      <c r="K314" s="2" t="s">
        <v>1790</v>
      </c>
      <c r="L314" s="2" t="s">
        <v>1791</v>
      </c>
      <c r="M314" s="4">
        <v>2023</v>
      </c>
      <c r="N314" s="4">
        <v>12</v>
      </c>
      <c r="O314" s="20">
        <v>7.7</v>
      </c>
      <c r="P314" s="2" t="s">
        <v>2168</v>
      </c>
      <c r="Q314" s="2" t="s">
        <v>1793</v>
      </c>
      <c r="R314" s="2" t="s">
        <v>1794</v>
      </c>
      <c r="S314" s="2" t="s">
        <v>1795</v>
      </c>
    </row>
    <row r="315" spans="11:19" x14ac:dyDescent="0.35">
      <c r="K315" s="2" t="s">
        <v>1796</v>
      </c>
      <c r="L315" s="2" t="s">
        <v>1797</v>
      </c>
      <c r="M315" s="4">
        <v>2024</v>
      </c>
      <c r="N315" s="4">
        <v>16</v>
      </c>
      <c r="O315" s="20">
        <v>7.7</v>
      </c>
      <c r="P315" s="2" t="s">
        <v>1798</v>
      </c>
      <c r="Q315" s="2" t="s">
        <v>567</v>
      </c>
      <c r="R315" s="2" t="s">
        <v>1799</v>
      </c>
      <c r="S315" s="2" t="s">
        <v>1800</v>
      </c>
    </row>
    <row r="316" spans="11:19" x14ac:dyDescent="0.35">
      <c r="K316" s="2" t="s">
        <v>1801</v>
      </c>
      <c r="L316" s="2" t="s">
        <v>1802</v>
      </c>
      <c r="M316" s="4">
        <v>2023</v>
      </c>
      <c r="N316" s="4">
        <v>8</v>
      </c>
      <c r="O316" s="20">
        <v>7.7</v>
      </c>
      <c r="P316" s="2" t="s">
        <v>2139</v>
      </c>
      <c r="Q316" s="2" t="s">
        <v>1003</v>
      </c>
      <c r="R316" s="2" t="s">
        <v>1804</v>
      </c>
      <c r="S316" s="2" t="s">
        <v>1805</v>
      </c>
    </row>
    <row r="317" spans="11:19" x14ac:dyDescent="0.35">
      <c r="K317" s="2" t="s">
        <v>1806</v>
      </c>
      <c r="L317" s="2" t="s">
        <v>1807</v>
      </c>
      <c r="M317" s="4">
        <v>2024</v>
      </c>
      <c r="N317" s="4">
        <v>7</v>
      </c>
      <c r="O317" s="20">
        <v>7.7</v>
      </c>
      <c r="P317" s="2" t="s">
        <v>1808</v>
      </c>
      <c r="Q317" s="2" t="s">
        <v>1809</v>
      </c>
      <c r="R317" s="2" t="s">
        <v>1810</v>
      </c>
      <c r="S317" s="2" t="s">
        <v>1811</v>
      </c>
    </row>
    <row r="318" spans="11:19" x14ac:dyDescent="0.35">
      <c r="K318" s="2" t="s">
        <v>1812</v>
      </c>
      <c r="L318" s="2" t="s">
        <v>1813</v>
      </c>
      <c r="M318" s="4">
        <v>2023</v>
      </c>
      <c r="N318" s="4">
        <v>12</v>
      </c>
      <c r="O318" s="20">
        <v>7.7</v>
      </c>
      <c r="P318" s="2" t="s">
        <v>2140</v>
      </c>
      <c r="Q318" s="2" t="s">
        <v>1815</v>
      </c>
      <c r="R318" s="2" t="s">
        <v>1816</v>
      </c>
      <c r="S318" s="2" t="s">
        <v>1817</v>
      </c>
    </row>
    <row r="319" spans="11:19" x14ac:dyDescent="0.35">
      <c r="K319" s="2" t="s">
        <v>1818</v>
      </c>
      <c r="L319" s="2" t="s">
        <v>1819</v>
      </c>
      <c r="M319" s="4">
        <v>2024</v>
      </c>
      <c r="N319" s="4">
        <v>16</v>
      </c>
      <c r="O319" s="20">
        <v>7.6</v>
      </c>
      <c r="P319" s="2" t="s">
        <v>1821</v>
      </c>
      <c r="Q319" s="2" t="s">
        <v>1822</v>
      </c>
      <c r="R319" s="2" t="s">
        <v>1823</v>
      </c>
      <c r="S319" s="2" t="s">
        <v>1824</v>
      </c>
    </row>
    <row r="320" spans="11:19" x14ac:dyDescent="0.35">
      <c r="K320" s="2" t="s">
        <v>1825</v>
      </c>
      <c r="L320" s="2" t="s">
        <v>1826</v>
      </c>
      <c r="M320" s="4">
        <v>2024</v>
      </c>
      <c r="N320" s="4">
        <v>8</v>
      </c>
      <c r="O320" s="20">
        <v>7.6</v>
      </c>
      <c r="P320" s="2" t="s">
        <v>1827</v>
      </c>
      <c r="Q320" s="2" t="s">
        <v>2061</v>
      </c>
      <c r="R320" s="2" t="s">
        <v>2061</v>
      </c>
      <c r="S320" s="2" t="s">
        <v>2061</v>
      </c>
    </row>
    <row r="321" spans="11:19" x14ac:dyDescent="0.35">
      <c r="K321" s="2" t="s">
        <v>1828</v>
      </c>
      <c r="L321" s="2" t="s">
        <v>1829</v>
      </c>
      <c r="M321" s="4">
        <v>2023</v>
      </c>
      <c r="N321" s="4">
        <v>16</v>
      </c>
      <c r="O321" s="20">
        <v>7.6</v>
      </c>
      <c r="P321" s="2" t="s">
        <v>1830</v>
      </c>
      <c r="Q321" s="2" t="s">
        <v>1831</v>
      </c>
      <c r="R321" s="2" t="s">
        <v>1832</v>
      </c>
      <c r="S321" s="2" t="s">
        <v>1833</v>
      </c>
    </row>
    <row r="322" spans="11:19" x14ac:dyDescent="0.35">
      <c r="K322" s="2" t="s">
        <v>1834</v>
      </c>
      <c r="L322" s="2" t="s">
        <v>1835</v>
      </c>
      <c r="M322" s="4">
        <v>2024</v>
      </c>
      <c r="N322" s="4">
        <v>16</v>
      </c>
      <c r="O322" s="20">
        <v>7.6</v>
      </c>
      <c r="P322" s="2" t="s">
        <v>2169</v>
      </c>
      <c r="Q322" s="2" t="s">
        <v>1837</v>
      </c>
      <c r="R322" s="2" t="s">
        <v>1838</v>
      </c>
      <c r="S322" s="2" t="s">
        <v>1839</v>
      </c>
    </row>
    <row r="323" spans="11:19" x14ac:dyDescent="0.35">
      <c r="K323" s="2" t="s">
        <v>1840</v>
      </c>
      <c r="L323" s="2" t="s">
        <v>1841</v>
      </c>
      <c r="M323" s="4">
        <v>2024</v>
      </c>
      <c r="N323" s="4">
        <v>24</v>
      </c>
      <c r="O323" s="20">
        <v>7.6</v>
      </c>
      <c r="P323" s="2" t="s">
        <v>1842</v>
      </c>
      <c r="Q323" s="2" t="s">
        <v>1843</v>
      </c>
      <c r="R323" s="2" t="s">
        <v>1844</v>
      </c>
      <c r="S323" s="2" t="s">
        <v>1845</v>
      </c>
    </row>
    <row r="324" spans="11:19" x14ac:dyDescent="0.35">
      <c r="K324" s="2" t="s">
        <v>1846</v>
      </c>
      <c r="L324" s="2" t="s">
        <v>1847</v>
      </c>
      <c r="M324" s="4">
        <v>2025</v>
      </c>
      <c r="N324" s="4">
        <v>10</v>
      </c>
      <c r="O324" s="20">
        <v>7.6</v>
      </c>
      <c r="P324" s="2" t="s">
        <v>1848</v>
      </c>
      <c r="Q324" s="2" t="s">
        <v>1529</v>
      </c>
      <c r="R324" s="2" t="s">
        <v>1849</v>
      </c>
      <c r="S324" s="2" t="s">
        <v>1850</v>
      </c>
    </row>
    <row r="325" spans="11:19" x14ac:dyDescent="0.35">
      <c r="K325" s="2" t="s">
        <v>1851</v>
      </c>
      <c r="L325" s="2" t="s">
        <v>1852</v>
      </c>
      <c r="M325" s="4">
        <v>2023</v>
      </c>
      <c r="N325" s="4">
        <v>10</v>
      </c>
      <c r="O325" s="20">
        <v>7.6</v>
      </c>
      <c r="P325" s="2" t="s">
        <v>1853</v>
      </c>
      <c r="Q325" s="2" t="s">
        <v>1380</v>
      </c>
      <c r="R325" s="2" t="s">
        <v>1854</v>
      </c>
      <c r="S325" s="2" t="s">
        <v>1855</v>
      </c>
    </row>
    <row r="326" spans="11:19" x14ac:dyDescent="0.35">
      <c r="K326" s="2" t="s">
        <v>1856</v>
      </c>
      <c r="L326" s="2" t="s">
        <v>1857</v>
      </c>
      <c r="M326" s="4">
        <v>2023</v>
      </c>
      <c r="N326" s="4">
        <v>10</v>
      </c>
      <c r="O326" s="20">
        <v>7.5</v>
      </c>
      <c r="P326" s="2" t="s">
        <v>2141</v>
      </c>
      <c r="Q326" s="2" t="s">
        <v>1860</v>
      </c>
      <c r="R326" s="2" t="s">
        <v>1861</v>
      </c>
      <c r="S326" s="2" t="s">
        <v>1862</v>
      </c>
    </row>
    <row r="327" spans="11:19" x14ac:dyDescent="0.35">
      <c r="K327" s="2" t="s">
        <v>1863</v>
      </c>
      <c r="L327" s="2" t="s">
        <v>1864</v>
      </c>
      <c r="M327" s="4">
        <v>2024</v>
      </c>
      <c r="N327" s="4">
        <v>128</v>
      </c>
      <c r="O327" s="20">
        <v>7.5</v>
      </c>
      <c r="P327" s="2" t="s">
        <v>1865</v>
      </c>
      <c r="Q327" s="2" t="s">
        <v>1866</v>
      </c>
      <c r="R327" s="2" t="s">
        <v>1867</v>
      </c>
      <c r="S327" s="2" t="s">
        <v>1868</v>
      </c>
    </row>
    <row r="328" spans="11:19" x14ac:dyDescent="0.35">
      <c r="K328" s="2" t="s">
        <v>1869</v>
      </c>
      <c r="L328" s="2" t="s">
        <v>1870</v>
      </c>
      <c r="M328" s="4">
        <v>2023</v>
      </c>
      <c r="N328" s="4">
        <v>12</v>
      </c>
      <c r="O328" s="20">
        <v>7.5</v>
      </c>
      <c r="P328" s="2" t="s">
        <v>1871</v>
      </c>
      <c r="Q328" s="2" t="s">
        <v>1872</v>
      </c>
      <c r="R328" s="2" t="s">
        <v>1873</v>
      </c>
      <c r="S328" s="2" t="s">
        <v>1874</v>
      </c>
    </row>
    <row r="329" spans="11:19" x14ac:dyDescent="0.35">
      <c r="K329" s="2" t="s">
        <v>1875</v>
      </c>
      <c r="L329" s="2" t="s">
        <v>1876</v>
      </c>
      <c r="M329" s="4">
        <v>2024</v>
      </c>
      <c r="N329" s="4">
        <v>16</v>
      </c>
      <c r="O329" s="20">
        <v>7.5</v>
      </c>
      <c r="P329" s="2" t="s">
        <v>2142</v>
      </c>
      <c r="Q329" s="2" t="s">
        <v>1643</v>
      </c>
      <c r="R329" s="2" t="s">
        <v>1878</v>
      </c>
      <c r="S329" s="2" t="s">
        <v>1879</v>
      </c>
    </row>
    <row r="330" spans="11:19" x14ac:dyDescent="0.35">
      <c r="K330" s="2" t="s">
        <v>1880</v>
      </c>
      <c r="L330" s="2" t="s">
        <v>1881</v>
      </c>
      <c r="M330" s="4">
        <v>2024</v>
      </c>
      <c r="N330" s="4">
        <v>12</v>
      </c>
      <c r="O330" s="20">
        <v>7.5</v>
      </c>
      <c r="P330" s="2" t="s">
        <v>1882</v>
      </c>
      <c r="Q330" s="2" t="s">
        <v>567</v>
      </c>
      <c r="R330" s="2" t="s">
        <v>1883</v>
      </c>
      <c r="S330" s="2" t="s">
        <v>1884</v>
      </c>
    </row>
    <row r="331" spans="11:19" x14ac:dyDescent="0.35">
      <c r="K331" s="2" t="s">
        <v>1885</v>
      </c>
      <c r="L331" s="2" t="s">
        <v>1886</v>
      </c>
      <c r="M331" s="4">
        <v>2023</v>
      </c>
      <c r="N331" s="4">
        <v>12</v>
      </c>
      <c r="O331" s="20">
        <v>7.5</v>
      </c>
      <c r="P331" s="2" t="s">
        <v>1887</v>
      </c>
      <c r="Q331" s="2" t="s">
        <v>725</v>
      </c>
      <c r="R331" s="2" t="s">
        <v>1888</v>
      </c>
      <c r="S331" s="2" t="s">
        <v>1889</v>
      </c>
    </row>
    <row r="332" spans="11:19" x14ac:dyDescent="0.35">
      <c r="K332" s="2" t="s">
        <v>1890</v>
      </c>
      <c r="L332" s="2" t="s">
        <v>1891</v>
      </c>
      <c r="M332" s="4">
        <v>2024</v>
      </c>
      <c r="N332" s="4">
        <v>12</v>
      </c>
      <c r="O332" s="20">
        <v>7.4</v>
      </c>
      <c r="P332" s="2" t="s">
        <v>1893</v>
      </c>
      <c r="Q332" s="2" t="s">
        <v>1894</v>
      </c>
      <c r="R332" s="2" t="s">
        <v>1895</v>
      </c>
      <c r="S332" s="2" t="s">
        <v>1896</v>
      </c>
    </row>
    <row r="333" spans="11:19" x14ac:dyDescent="0.35">
      <c r="K333" s="2" t="s">
        <v>1897</v>
      </c>
      <c r="L333" s="2" t="s">
        <v>1898</v>
      </c>
      <c r="M333" s="4">
        <v>2025</v>
      </c>
      <c r="N333" s="4">
        <v>8</v>
      </c>
      <c r="O333" s="20">
        <v>7.4</v>
      </c>
      <c r="P333" s="2" t="s">
        <v>1899</v>
      </c>
      <c r="Q333" s="2" t="s">
        <v>1900</v>
      </c>
      <c r="R333" s="2" t="s">
        <v>1901</v>
      </c>
      <c r="S333" s="2" t="s">
        <v>1902</v>
      </c>
    </row>
    <row r="334" spans="11:19" x14ac:dyDescent="0.35">
      <c r="K334" s="2" t="s">
        <v>1903</v>
      </c>
      <c r="L334" s="2" t="s">
        <v>1904</v>
      </c>
      <c r="M334" s="4">
        <v>2024</v>
      </c>
      <c r="N334" s="4">
        <v>12</v>
      </c>
      <c r="O334" s="20">
        <v>7.4</v>
      </c>
      <c r="P334" s="2" t="s">
        <v>2143</v>
      </c>
      <c r="Q334" s="2" t="s">
        <v>409</v>
      </c>
      <c r="R334" s="2" t="s">
        <v>1906</v>
      </c>
      <c r="S334" s="2" t="s">
        <v>1907</v>
      </c>
    </row>
    <row r="335" spans="11:19" x14ac:dyDescent="0.35">
      <c r="K335" s="2" t="s">
        <v>1908</v>
      </c>
      <c r="L335" s="2" t="s">
        <v>1909</v>
      </c>
      <c r="M335" s="4">
        <v>2024</v>
      </c>
      <c r="N335" s="4">
        <v>6</v>
      </c>
      <c r="O335" s="20">
        <v>7.4</v>
      </c>
      <c r="P335" s="2" t="s">
        <v>1910</v>
      </c>
      <c r="Q335" s="2" t="s">
        <v>1551</v>
      </c>
      <c r="R335" s="2" t="s">
        <v>1911</v>
      </c>
      <c r="S335" s="2" t="s">
        <v>1912</v>
      </c>
    </row>
    <row r="336" spans="11:19" x14ac:dyDescent="0.35">
      <c r="K336" s="2" t="s">
        <v>1913</v>
      </c>
      <c r="L336" s="2" t="s">
        <v>1914</v>
      </c>
      <c r="M336" s="4">
        <v>2023</v>
      </c>
      <c r="N336" s="4">
        <v>16</v>
      </c>
      <c r="O336" s="20">
        <v>7.4</v>
      </c>
      <c r="P336" s="2" t="s">
        <v>1915</v>
      </c>
      <c r="Q336" s="2" t="s">
        <v>1916</v>
      </c>
      <c r="R336" s="2" t="s">
        <v>1917</v>
      </c>
      <c r="S336" s="2" t="s">
        <v>1918</v>
      </c>
    </row>
    <row r="337" spans="11:19" x14ac:dyDescent="0.35">
      <c r="K337" s="2" t="s">
        <v>1919</v>
      </c>
      <c r="L337" s="2" t="s">
        <v>1920</v>
      </c>
      <c r="M337" s="4">
        <v>2023</v>
      </c>
      <c r="N337" s="4">
        <v>16</v>
      </c>
      <c r="O337" s="20">
        <v>7.3</v>
      </c>
      <c r="P337" s="2" t="s">
        <v>2170</v>
      </c>
      <c r="Q337" s="2" t="s">
        <v>1308</v>
      </c>
      <c r="R337" s="2" t="s">
        <v>1923</v>
      </c>
      <c r="S337" s="2" t="s">
        <v>1924</v>
      </c>
    </row>
    <row r="338" spans="11:19" x14ac:dyDescent="0.35">
      <c r="K338" s="2" t="s">
        <v>1925</v>
      </c>
      <c r="L338" s="2" t="s">
        <v>1926</v>
      </c>
      <c r="M338" s="4">
        <v>2025</v>
      </c>
      <c r="N338" s="4">
        <v>12</v>
      </c>
      <c r="O338" s="20">
        <v>7.3</v>
      </c>
      <c r="P338" s="2" t="s">
        <v>1927</v>
      </c>
      <c r="Q338" s="2" t="s">
        <v>1928</v>
      </c>
      <c r="R338" s="2" t="s">
        <v>1929</v>
      </c>
      <c r="S338" s="2" t="s">
        <v>1930</v>
      </c>
    </row>
    <row r="339" spans="11:19" x14ac:dyDescent="0.35">
      <c r="K339" s="2" t="s">
        <v>1931</v>
      </c>
      <c r="L339" s="2" t="s">
        <v>1932</v>
      </c>
      <c r="M339" s="4">
        <v>2024</v>
      </c>
      <c r="N339" s="4">
        <v>6</v>
      </c>
      <c r="O339" s="20">
        <v>7.3</v>
      </c>
      <c r="P339" s="2" t="s">
        <v>2144</v>
      </c>
      <c r="Q339" s="2" t="s">
        <v>1934</v>
      </c>
      <c r="R339" s="2" t="s">
        <v>1935</v>
      </c>
      <c r="S339" s="2" t="s">
        <v>1936</v>
      </c>
    </row>
    <row r="340" spans="11:19" x14ac:dyDescent="0.35">
      <c r="K340" s="2" t="s">
        <v>1937</v>
      </c>
      <c r="L340" s="2" t="s">
        <v>1938</v>
      </c>
      <c r="M340" s="4">
        <v>2023</v>
      </c>
      <c r="N340" s="4">
        <v>50</v>
      </c>
      <c r="O340" s="20">
        <v>7.3</v>
      </c>
      <c r="P340" s="2" t="s">
        <v>1939</v>
      </c>
      <c r="Q340" s="2" t="s">
        <v>1093</v>
      </c>
      <c r="R340" s="2" t="s">
        <v>1940</v>
      </c>
      <c r="S340" s="2" t="s">
        <v>1941</v>
      </c>
    </row>
    <row r="341" spans="11:19" x14ac:dyDescent="0.35">
      <c r="K341" s="2" t="s">
        <v>1942</v>
      </c>
      <c r="L341" s="2" t="s">
        <v>1943</v>
      </c>
      <c r="M341" s="4">
        <v>2023</v>
      </c>
      <c r="N341" s="4">
        <v>16</v>
      </c>
      <c r="O341" s="20">
        <v>7.2</v>
      </c>
      <c r="P341" s="2" t="s">
        <v>1945</v>
      </c>
      <c r="Q341" s="2" t="s">
        <v>1946</v>
      </c>
      <c r="R341" s="2" t="s">
        <v>1947</v>
      </c>
      <c r="S341" s="2" t="s">
        <v>1948</v>
      </c>
    </row>
    <row r="342" spans="11:19" x14ac:dyDescent="0.35">
      <c r="K342" s="2" t="s">
        <v>1949</v>
      </c>
      <c r="L342" s="2" t="s">
        <v>1950</v>
      </c>
      <c r="M342" s="4">
        <v>2024</v>
      </c>
      <c r="N342" s="4">
        <v>16</v>
      </c>
      <c r="O342" s="20">
        <v>7.2</v>
      </c>
      <c r="P342" s="2" t="s">
        <v>2171</v>
      </c>
      <c r="Q342" s="2" t="s">
        <v>1308</v>
      </c>
      <c r="R342" s="2" t="s">
        <v>1952</v>
      </c>
      <c r="S342" s="2" t="s">
        <v>1953</v>
      </c>
    </row>
    <row r="343" spans="11:19" x14ac:dyDescent="0.35">
      <c r="K343" s="2" t="s">
        <v>1954</v>
      </c>
      <c r="L343" s="2" t="s">
        <v>1955</v>
      </c>
      <c r="M343" s="4">
        <v>2024</v>
      </c>
      <c r="N343" s="4">
        <v>50</v>
      </c>
      <c r="O343" s="20">
        <v>7.2</v>
      </c>
      <c r="P343" s="2" t="s">
        <v>1956</v>
      </c>
      <c r="Q343" s="2" t="s">
        <v>1957</v>
      </c>
      <c r="R343" s="2" t="s">
        <v>1958</v>
      </c>
      <c r="S343" s="2" t="s">
        <v>1959</v>
      </c>
    </row>
    <row r="344" spans="11:19" x14ac:dyDescent="0.35">
      <c r="K344" s="2" t="s">
        <v>1960</v>
      </c>
      <c r="L344" s="2" t="s">
        <v>1961</v>
      </c>
      <c r="M344" s="4">
        <v>2025</v>
      </c>
      <c r="N344" s="4">
        <v>12</v>
      </c>
      <c r="O344" s="20">
        <v>7.2</v>
      </c>
      <c r="P344" s="2" t="s">
        <v>1962</v>
      </c>
      <c r="Q344" s="2" t="s">
        <v>1963</v>
      </c>
      <c r="R344" s="2" t="s">
        <v>1964</v>
      </c>
      <c r="S344" s="2" t="s">
        <v>1965</v>
      </c>
    </row>
    <row r="345" spans="11:19" x14ac:dyDescent="0.35">
      <c r="K345" s="2" t="s">
        <v>1966</v>
      </c>
      <c r="L345" s="2" t="s">
        <v>1967</v>
      </c>
      <c r="M345" s="4">
        <v>2023</v>
      </c>
      <c r="N345" s="4">
        <v>12</v>
      </c>
      <c r="O345" s="20">
        <v>7.2</v>
      </c>
      <c r="P345" s="2" t="s">
        <v>2172</v>
      </c>
      <c r="Q345" s="2" t="s">
        <v>1969</v>
      </c>
      <c r="R345" s="2" t="s">
        <v>1970</v>
      </c>
      <c r="S345" s="2" t="s">
        <v>1971</v>
      </c>
    </row>
    <row r="346" spans="11:19" x14ac:dyDescent="0.35">
      <c r="K346" s="2" t="s">
        <v>1972</v>
      </c>
      <c r="L346" s="2" t="s">
        <v>1973</v>
      </c>
      <c r="M346" s="4">
        <v>2023</v>
      </c>
      <c r="N346" s="4">
        <v>12</v>
      </c>
      <c r="O346" s="20">
        <v>7.2</v>
      </c>
      <c r="P346" s="2" t="s">
        <v>2145</v>
      </c>
      <c r="Q346" s="2" t="s">
        <v>1975</v>
      </c>
      <c r="R346" s="2" t="s">
        <v>1976</v>
      </c>
      <c r="S346" s="2" t="s">
        <v>1977</v>
      </c>
    </row>
    <row r="347" spans="11:19" x14ac:dyDescent="0.35">
      <c r="K347" s="2" t="s">
        <v>1978</v>
      </c>
      <c r="L347" s="2" t="s">
        <v>1979</v>
      </c>
      <c r="M347" s="4">
        <v>2024</v>
      </c>
      <c r="N347" s="4">
        <v>16</v>
      </c>
      <c r="O347" s="20">
        <v>7.1</v>
      </c>
      <c r="P347" s="2" t="s">
        <v>1981</v>
      </c>
      <c r="Q347" s="2" t="s">
        <v>1569</v>
      </c>
      <c r="R347" s="2" t="s">
        <v>1982</v>
      </c>
      <c r="S347" s="2" t="s">
        <v>1983</v>
      </c>
    </row>
    <row r="348" spans="11:19" x14ac:dyDescent="0.35">
      <c r="K348" s="2" t="s">
        <v>1984</v>
      </c>
      <c r="L348" s="2" t="s">
        <v>1985</v>
      </c>
      <c r="M348" s="4">
        <v>2024</v>
      </c>
      <c r="N348" s="4">
        <v>7</v>
      </c>
      <c r="O348" s="20">
        <v>6.9</v>
      </c>
      <c r="P348" s="2" t="s">
        <v>1987</v>
      </c>
      <c r="Q348" s="2" t="s">
        <v>2061</v>
      </c>
      <c r="R348" s="2" t="s">
        <v>2061</v>
      </c>
      <c r="S348" s="2" t="s">
        <v>2061</v>
      </c>
    </row>
    <row r="349" spans="11:19" x14ac:dyDescent="0.35">
      <c r="K349" s="2" t="s">
        <v>1988</v>
      </c>
      <c r="L349" s="2" t="s">
        <v>1989</v>
      </c>
      <c r="M349" s="4">
        <v>2023</v>
      </c>
      <c r="N349" s="4">
        <v>10</v>
      </c>
      <c r="O349" s="20">
        <v>6.9</v>
      </c>
      <c r="P349" s="2" t="s">
        <v>2146</v>
      </c>
      <c r="Q349" s="2" t="s">
        <v>1569</v>
      </c>
      <c r="R349" s="2" t="s">
        <v>1991</v>
      </c>
      <c r="S349" s="2" t="s">
        <v>1992</v>
      </c>
    </row>
    <row r="350" spans="11:19" x14ac:dyDescent="0.35">
      <c r="K350" s="2" t="s">
        <v>1993</v>
      </c>
      <c r="L350" s="2" t="s">
        <v>1994</v>
      </c>
      <c r="M350" s="4">
        <v>2024</v>
      </c>
      <c r="N350" s="4">
        <v>16</v>
      </c>
      <c r="O350" s="20">
        <v>6.9</v>
      </c>
      <c r="P350" s="2" t="s">
        <v>1995</v>
      </c>
      <c r="Q350" s="2" t="s">
        <v>1996</v>
      </c>
      <c r="R350" s="2" t="s">
        <v>1997</v>
      </c>
      <c r="S350" s="2" t="s">
        <v>1998</v>
      </c>
    </row>
    <row r="351" spans="11:19" x14ac:dyDescent="0.35">
      <c r="K351" s="2" t="s">
        <v>1999</v>
      </c>
      <c r="L351" s="2" t="s">
        <v>2000</v>
      </c>
      <c r="M351" s="4">
        <v>2024</v>
      </c>
      <c r="N351" s="4">
        <v>10</v>
      </c>
      <c r="O351" s="20">
        <v>6.9</v>
      </c>
      <c r="P351" s="2" t="s">
        <v>2001</v>
      </c>
      <c r="Q351" s="2" t="s">
        <v>2002</v>
      </c>
      <c r="R351" s="2" t="s">
        <v>2003</v>
      </c>
      <c r="S351" s="2" t="s">
        <v>2004</v>
      </c>
    </row>
    <row r="352" spans="11:19" x14ac:dyDescent="0.35">
      <c r="K352" s="2" t="s">
        <v>2005</v>
      </c>
      <c r="L352" s="2" t="s">
        <v>2006</v>
      </c>
      <c r="M352" s="4">
        <v>2024</v>
      </c>
      <c r="N352" s="4">
        <v>124</v>
      </c>
      <c r="O352" s="20">
        <v>6.8</v>
      </c>
      <c r="P352" s="2" t="s">
        <v>2008</v>
      </c>
      <c r="Q352" s="2" t="s">
        <v>1093</v>
      </c>
      <c r="R352" s="2" t="s">
        <v>2009</v>
      </c>
      <c r="S352" s="2" t="s">
        <v>2010</v>
      </c>
    </row>
    <row r="353" spans="11:19" x14ac:dyDescent="0.35">
      <c r="K353" s="2" t="s">
        <v>2011</v>
      </c>
      <c r="L353" s="2" t="s">
        <v>2012</v>
      </c>
      <c r="M353" s="4">
        <v>2024</v>
      </c>
      <c r="N353" s="4">
        <v>12</v>
      </c>
      <c r="O353" s="20">
        <v>6.4</v>
      </c>
      <c r="P353" s="2" t="s">
        <v>2014</v>
      </c>
      <c r="Q353" s="2" t="s">
        <v>2015</v>
      </c>
      <c r="R353" s="2" t="s">
        <v>2016</v>
      </c>
      <c r="S353" s="2" t="s">
        <v>2017</v>
      </c>
    </row>
  </sheetData>
  <mergeCells count="21">
    <mergeCell ref="B1:E1"/>
    <mergeCell ref="C31:E31"/>
    <mergeCell ref="B25:E25"/>
    <mergeCell ref="C27:E27"/>
    <mergeCell ref="C35:E35"/>
    <mergeCell ref="C22:D22"/>
    <mergeCell ref="C23:D23"/>
    <mergeCell ref="C26:E26"/>
    <mergeCell ref="C30:E30"/>
    <mergeCell ref="C29:E29"/>
    <mergeCell ref="B5:E5"/>
    <mergeCell ref="B9:E9"/>
    <mergeCell ref="B3:E3"/>
    <mergeCell ref="B18:E18"/>
    <mergeCell ref="B21:E21"/>
    <mergeCell ref="C37:E37"/>
    <mergeCell ref="C28:E28"/>
    <mergeCell ref="C38:E38"/>
    <mergeCell ref="C34:E34"/>
    <mergeCell ref="B33:E33"/>
    <mergeCell ref="C36:E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kdrama_DATASET</vt:lpstr>
      <vt:lpstr>Processed_Data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 Putu Bintang Permatasari</dc:creator>
  <cp:lastModifiedBy>Ni Putu Bintang Permatasari</cp:lastModifiedBy>
  <dcterms:created xsi:type="dcterms:W3CDTF">2026-02-04T15:23:21Z</dcterms:created>
  <dcterms:modified xsi:type="dcterms:W3CDTF">2026-02-06T14:21:09Z</dcterms:modified>
</cp:coreProperties>
</file>